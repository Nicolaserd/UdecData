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Nicolas\Desktop\Proyect\Automatizar_udec\Encuentrosdialogicos\datos\"/>
    </mc:Choice>
  </mc:AlternateContent>
  <xr:revisionPtr revIDLastSave="0" documentId="13_ncr:1_{5583A7E5-AB73-4542-9481-2D572B216F08}" xr6:coauthVersionLast="47" xr6:coauthVersionMax="47" xr10:uidLastSave="{00000000-0000-0000-0000-000000000000}"/>
  <bookViews>
    <workbookView xWindow="-120" yWindow="-120" windowWidth="20730" windowHeight="11160" tabRatio="556" xr2:uid="{232E5A89-D123-4238-9394-67D0CFFED5D7}"/>
  </bookViews>
  <sheets>
    <sheet name="Hoja1" sheetId="2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5" i="24" l="1"/>
  <c r="C54" i="24"/>
  <c r="C53" i="24"/>
  <c r="C52" i="24"/>
  <c r="C51" i="24"/>
  <c r="C50" i="24"/>
  <c r="C49" i="24"/>
  <c r="C48" i="24"/>
  <c r="C47" i="24"/>
  <c r="C46" i="24"/>
  <c r="C45" i="24"/>
  <c r="C44" i="24"/>
  <c r="C43" i="24"/>
  <c r="C42" i="24"/>
  <c r="C41" i="24"/>
  <c r="C40" i="24"/>
  <c r="C39" i="24"/>
  <c r="C38" i="24"/>
  <c r="C37" i="24"/>
  <c r="C36" i="24"/>
  <c r="C35" i="24"/>
  <c r="C34" i="24"/>
  <c r="C33" i="24"/>
  <c r="C32" i="24"/>
  <c r="C31" i="24"/>
  <c r="C30" i="24"/>
  <c r="C29" i="24"/>
  <c r="C28" i="24"/>
  <c r="C27" i="24"/>
  <c r="C26" i="24"/>
  <c r="C25" i="24"/>
  <c r="C24" i="24"/>
  <c r="C23" i="24"/>
  <c r="C22" i="24"/>
  <c r="C21" i="24"/>
  <c r="C20" i="24"/>
  <c r="C19" i="24"/>
  <c r="C18" i="24"/>
  <c r="C17" i="24"/>
  <c r="C16" i="24"/>
  <c r="C15" i="24"/>
  <c r="C14" i="24"/>
  <c r="C13" i="24"/>
  <c r="C12" i="24"/>
  <c r="C11" i="24"/>
  <c r="C10" i="24"/>
  <c r="C9" i="24"/>
  <c r="C8" i="24"/>
  <c r="C7" i="24"/>
  <c r="C6" i="24"/>
  <c r="C5" i="24"/>
  <c r="C4" i="24"/>
  <c r="C3" i="24"/>
  <c r="C2" i="2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F7358F-CBA6-44BC-82C7-95917071E954}" keepAlive="1" name="Consulta - Tabla1" description="Conexión a la consulta 'Tabla1' en el libro." type="5" refreshedVersion="7" background="1" saveData="1">
    <dbPr connection="Provider=Microsoft.Mashup.OleDb.1;Data Source=$Workbook$;Location=Tabla1;Extended Properties=&quot;&quot;" command="SELECT * FROM [Tabla1]"/>
  </connection>
  <connection id="2" xr16:uid="{DFD6FBD9-7AA3-42B3-8F89-994E4E329E80}" keepAlive="1" name="Consulta - Tabla1 (2)" description="Conexión a la consulta 'Tabla1 (2)' en el libro." type="5" refreshedVersion="7" background="1" saveData="1">
    <dbPr connection="Provider=Microsoft.Mashup.OleDb.1;Data Source=$Workbook$;Location=&quot;Tabla1 (2)&quot;;Extended Properties=&quot;&quot;" command="SELECT * FROM [Tabla1 (2)]"/>
  </connection>
  <connection id="3" xr16:uid="{40176C1E-E23A-41C8-8A06-8BD498A54DA5}" keepAlive="1" name="Consulta - Tabla10" description="Conexión a la consulta 'Tabla10' en el libro." type="5" refreshedVersion="7" background="1" saveData="1">
    <dbPr connection="Provider=Microsoft.Mashup.OleDb.1;Data Source=$Workbook$;Location=Tabla10;Extended Properties=&quot;&quot;" command="SELECT * FROM [Tabla10]"/>
  </connection>
  <connection id="4" xr16:uid="{8FF33EFF-64FC-4DAF-8088-B4FBB0144AE8}" keepAlive="1" name="Consulta - Tabla15" description="Conexión a la consulta 'Tabla15' en el libro." type="5" refreshedVersion="7" background="1" saveData="1">
    <dbPr connection="Provider=Microsoft.Mashup.OleDb.1;Data Source=$Workbook$;Location=Tabla15;Extended Properties=&quot;&quot;" command="SELECT * FROM [Tabla15]"/>
  </connection>
  <connection id="5" xr16:uid="{0413CE81-AC85-462F-90F8-798E100FF801}" keepAlive="1" name="Consulta - Tabla15 (2)" description="Conexión a la consulta 'Tabla15 (2)' en el libro." type="5" refreshedVersion="7" background="1" saveData="1">
    <dbPr connection="Provider=Microsoft.Mashup.OleDb.1;Data Source=$Workbook$;Location=&quot;Tabla15 (2)&quot;;Extended Properties=&quot;&quot;" command="SELECT * FROM [Tabla15 (2)]"/>
  </connection>
  <connection id="6" xr16:uid="{9B138A36-EC31-47EF-A884-82C58A2F2809}" keepAlive="1" name="Consulta - Tabla2" description="Conexión a la consulta 'Tabla2' en el libro." type="5" refreshedVersion="0" background="1">
    <dbPr connection="Provider=Microsoft.Mashup.OleDb.1;Data Source=$Workbook$;Location=Tabla2;Extended Properties=&quot;&quot;" command="SELECT * FROM [Tabla2]"/>
  </connection>
  <connection id="7" xr16:uid="{26114714-2B37-42EB-9A94-AB7539980057}" keepAlive="1" name="Consulta - Tabla2 (2)" description="Conexión a la consulta 'Tabla2 (2)' en el libro." type="5" refreshedVersion="7" background="1" saveData="1">
    <dbPr connection="Provider=Microsoft.Mashup.OleDb.1;Data Source=$Workbook$;Location=&quot;Tabla2 (2)&quot;;Extended Properties=&quot;&quot;" command="SELECT * FROM [Tabla2 (2)]"/>
  </connection>
  <connection id="8" xr16:uid="{74DB767E-E30D-488E-BF53-80E3D5D2F30F}"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 id="9" xr16:uid="{D2C24507-3254-4925-8C12-BF2E1DF7747F}" keepAlive="1" name="Consulta - Tabla3 (2)" description="Conexión a la consulta 'Tabla3 (2)' en el libro." type="5" refreshedVersion="7" background="1" saveData="1">
    <dbPr connection="Provider=Microsoft.Mashup.OleDb.1;Data Source=$Workbook$;Location=&quot;Tabla3 (2)&quot;;Extended Properties=&quot;&quot;" command="SELECT * FROM [Tabla3 (2)]"/>
  </connection>
  <connection id="10" xr16:uid="{A67E78BE-E98A-4E81-B42B-9FF5BB708C31}" keepAlive="1" name="Consulta - Tabla3_2" description="Conexión a la consulta 'Tabla3_2' en el libro." type="5" refreshedVersion="7" background="1" saveData="1">
    <dbPr connection="Provider=Microsoft.Mashup.OleDb.1;Data Source=$Workbook$;Location=Tabla3_2;Extended Properties=&quot;&quot;" command="SELECT * FROM [Tabla3_2]"/>
  </connection>
</connections>
</file>

<file path=xl/sharedStrings.xml><?xml version="1.0" encoding="utf-8"?>
<sst xmlns="http://schemas.openxmlformats.org/spreadsheetml/2006/main" count="575" uniqueCount="222">
  <si>
    <t>Ubaté</t>
  </si>
  <si>
    <t>Fusagasugá</t>
  </si>
  <si>
    <t>Virtual</t>
  </si>
  <si>
    <t>Administración de empresas</t>
  </si>
  <si>
    <t>Girardot</t>
  </si>
  <si>
    <t>FACULTAD</t>
  </si>
  <si>
    <t>UNIDAD REGIONAL</t>
  </si>
  <si>
    <t>AÑO</t>
  </si>
  <si>
    <t>Ciencias Agropecuarias</t>
  </si>
  <si>
    <t>Ingeniería Ambiental</t>
  </si>
  <si>
    <t>Instituto de Posgrados</t>
  </si>
  <si>
    <t>PRIMER ENCUENTRO</t>
  </si>
  <si>
    <t>SEGUNDO ENCUENTRO</t>
  </si>
  <si>
    <t>CATEGORIA</t>
  </si>
  <si>
    <t>SUBCATEGORIA</t>
  </si>
  <si>
    <t>PLAN DE MEJORAMIENTO</t>
  </si>
  <si>
    <t>ACTIVIDAD</t>
  </si>
  <si>
    <t>FECHA DE CUMPLIMIENTO</t>
  </si>
  <si>
    <t xml:space="preserve">EVIDENCIAS DE CUMPLIMIENTO </t>
  </si>
  <si>
    <t>CALIFICACION DE CUMPLIMIENTO</t>
  </si>
  <si>
    <t>EFECTIVIDAD</t>
  </si>
  <si>
    <t>PROGRAMA</t>
  </si>
  <si>
    <t>ENCUENTRO</t>
  </si>
  <si>
    <t>formulado</t>
  </si>
  <si>
    <t>INFRAESTRUCTURA</t>
  </si>
  <si>
    <t>Fisica e inmuebles</t>
  </si>
  <si>
    <t>Maquinaria y equipo sin mantenimiento.</t>
  </si>
  <si>
    <t>30 de noviembre de 2024</t>
  </si>
  <si>
    <t>Ejecución de presupuesto dispuesto por la seccional para mantenimiento de maquinaria y equipo.</t>
  </si>
  <si>
    <t>Se realizó la contratación del servicio de mantenimiento preventivo y correctivo para los equipos de los laboratorios de Ciencias Agropecuarias, por un valor de $20.360.110.</t>
  </si>
  <si>
    <t xml:space="preserve">Zootecnia </t>
  </si>
  <si>
    <t>Facultad de Ciencias Agropecuarias</t>
  </si>
  <si>
    <t>NO</t>
  </si>
  <si>
    <t>ACADÉMICA</t>
  </si>
  <si>
    <t>Formación y Aprendizaje</t>
  </si>
  <si>
    <t>Elaborar proyecto justificado para instalar punto de hidratación en la UAA el Tibar</t>
  </si>
  <si>
    <t>30 de noviembre 2024</t>
  </si>
  <si>
    <t>Respuesta por parte del órgano competente</t>
  </si>
  <si>
    <t>Tecnologia</t>
  </si>
  <si>
    <t>Cobertura y velocidad de internet en el Campus.</t>
  </si>
  <si>
    <t xml:space="preserve">Actualización de infraestructura tecnológica </t>
  </si>
  <si>
    <t>El canal principal en fibra óptica pasó de 120 Mbps a 400 Mbps simétricos, y la granja tecnológica de 30 Mbps a 40 Mbps, durante la vigencia 2025.</t>
  </si>
  <si>
    <t>Revisión y mejor asignación de carga docente según perfiles.</t>
  </si>
  <si>
    <t>24 de mayo de 2024</t>
  </si>
  <si>
    <t>En los casos donde se encontraron falencias se generó un plan de choque para mejorar la praxis.</t>
  </si>
  <si>
    <t>Seis Agentes del Conocimiento con bajo rendimiento o conflictos no fueron incluidos provisionalmente en la preasignación, con el propósito de brindarles tiempo y acompañamiento para superar dichas situaciones, sin que esto implique la pérdida de su cargo.</t>
  </si>
  <si>
    <t>Ingenieria Agronomica</t>
  </si>
  <si>
    <t xml:space="preserve"> Facatativá</t>
  </si>
  <si>
    <t>Ingreso a los laboratorios con menos requisitos.</t>
  </si>
  <si>
    <t>01 de noviembre de 2024</t>
  </si>
  <si>
    <t>Agentes creadores de Oportunidad beneficiados</t>
  </si>
  <si>
    <t>Un total de 56 Agentes Creadores de Oportunidades (estudiantes) fueron beneficiados con el acceso a los laboratorios en horarios no programados, mediante la previa diligencia de los formatos de autorización.</t>
  </si>
  <si>
    <t xml:space="preserve"> Fusagasugá</t>
  </si>
  <si>
    <t>TERCER ENCUENTRO</t>
  </si>
  <si>
    <t xml:space="preserve">.Seguimiento del desarrollo de las funciones de los gestores del conocimiento </t>
  </si>
  <si>
    <t>15 de noviembre de 2024</t>
  </si>
  <si>
    <t>Presentación de plan de trabajo de formación y aprendizaje. Socialización de MEDIT y Metodología CMA. Seguimiento de las sesiones presenciales y manejo de aulas.</t>
  </si>
  <si>
    <t>Se registró la participación de 10 Gestores del Conocimiento y el Aprendizaje (docentes) en la actividad de acogida.</t>
  </si>
  <si>
    <t>Administración de Empresas</t>
  </si>
  <si>
    <t>Facultad de Ciencias Administrativas Economicas y Contables</t>
  </si>
  <si>
    <t xml:space="preserve">Falta de claridad en los lineamientos establecidos en la actividad académica de Proyecto Integrador de Semestre (PIS) </t>
  </si>
  <si>
    <t>15 de agosto de 2024</t>
  </si>
  <si>
    <t xml:space="preserve">Lineamiento aprobado por comité curricular.  Listad de asistencia a socialización de lineamientos PIS </t>
  </si>
  <si>
    <t>Se aprobó el lineamiento por el comité curricular, pero no se remite el listado de asistencia.</t>
  </si>
  <si>
    <t>Ausencia de Gestores del conocimiento (Docentes) en las primeras semanas del periodo</t>
  </si>
  <si>
    <t>05 de agosto de 2024</t>
  </si>
  <si>
    <t xml:space="preserve">100% de la contratación hasta el 5 de agosto de 2024 </t>
  </si>
  <si>
    <t>Se contrataron 9 Gestores del Conocimiento y el Aprendizaje desde el 25 de enero hasta el 20 de diciembre. Para el segundo semestre de 2024, se vincularon 7 Gestores del Conocimiento y el Aprendizaje, con contratos entre el 1.º de agosto y el 22 o 20 de diciembre, según cada caso.</t>
  </si>
  <si>
    <t xml:space="preserve">Desconocimiento de los elementos bibliograficos GCGA </t>
  </si>
  <si>
    <t>Realizar una jornada de socialización del material bibliográfico disponible</t>
  </si>
  <si>
    <t>Un total de 105 Agentes Creadores de Oportunidades (estudiantes) fueron capacitados en normas técnicas (APA e Icontec), uso de bases de datos y gestores bibliográficos.</t>
  </si>
  <si>
    <t>Escasa disponibilidad de equipos de computo para prestamo externo.</t>
  </si>
  <si>
    <t xml:space="preserve">31 de agosto de 2024 </t>
  </si>
  <si>
    <t>No se remite las evidencias</t>
  </si>
  <si>
    <t>Desconocimiento del acuerdo 012 de 09 de junio de 2024 (Opciones de Grado).</t>
  </si>
  <si>
    <t>Socialización con los miembros del Programa Académico</t>
  </si>
  <si>
    <t>Un total de 80 Agentes Creadores de Oportunidades (estudiantes) participaron en la actividad. Adicionalmente, la información fue enviada por correo institucional a los Gestores del Conocimiento y el Aprendizaje (docentes) con el fin de ser socializada en el aula.</t>
  </si>
  <si>
    <t>No hay cupos en los CAI - y los horarios disponibles no se ajustan a las necesidades.</t>
  </si>
  <si>
    <t>01 de noviiembre de 2024</t>
  </si>
  <si>
    <t>Solicitar a desarrollo académico que los horarios de los CAI se ajusten a los programas - Que los líderes de los CAI informen a los GCA de cada CAI que estos son transversales y no son específicos para un programa</t>
  </si>
  <si>
    <t>Se amplió la disponibilidad de los laboratorios para dar respuesta a la solicitud de acceso realizada por 56 Agentes Creadores de Oportunidades (estudiantes).</t>
  </si>
  <si>
    <t>El cierre de grupos afecta el cumplimiento de los tiempos de graduación.</t>
  </si>
  <si>
    <t>No se remite la evidencia</t>
  </si>
  <si>
    <t>Recursos</t>
  </si>
  <si>
    <t>Baja disponibilidad de bicicletas como opción de movilidad de los estudiantes.</t>
  </si>
  <si>
    <t>31 de agosto de 2024</t>
  </si>
  <si>
    <t xml:space="preserve">Incrementar el número de bicicletas aptas para préstamo de estudiantes </t>
  </si>
  <si>
    <t>Se realizó el préstamo de 79 bicicletas distribuidas entre las unidades regionales de la siguiente manera: Ubaté (25), Girardot (25) y Facatativá (29).</t>
  </si>
  <si>
    <t>Mejorar el servicio de transporte para las salidas (mantenimiento de vehículos).</t>
  </si>
  <si>
    <t>Confirmación de recepción de la solicitud 
número de salidas sin incidentes reportados.</t>
  </si>
  <si>
    <t>Baja disponibilidad de transporte a la UAA</t>
  </si>
  <si>
    <t xml:space="preserve">Numero de solicitudes de transporte atendidas y confirmadas </t>
  </si>
  <si>
    <t>Se recibieron un total de 52 solicitudes relacionadas con el programa, de las cuales la Oficina de Recursos Físicos aprobó 27, lo que representa un porcentaje de aprobación del 52%.</t>
  </si>
  <si>
    <t>Interacción</t>
  </si>
  <si>
    <t>Comunicación y trato de los creadores de oportunidades.</t>
  </si>
  <si>
    <t>31 de mayo de 2025</t>
  </si>
  <si>
    <t>Verificación con los creadores en el segundo encuentro del semestre</t>
  </si>
  <si>
    <t xml:space="preserve">Se encuentra en curso la verificación con los Agentes Creadores de Oportunidades del segundo Encuentro Dialógico </t>
  </si>
  <si>
    <t xml:space="preserve">Estrategias para mejorar los resultados en las pruebas saber PRO </t>
  </si>
  <si>
    <t>30 de noviembre de 2025</t>
  </si>
  <si>
    <t>Planificación para incluir dentro de los PAD las actividades propuestas</t>
  </si>
  <si>
    <t>Verificación de cumplimiento de las salidas establecidas para los CADI</t>
  </si>
  <si>
    <t>30 de mayo de 2025</t>
  </si>
  <si>
    <t>Numero de salidas pendientes de ser modificadas/  salidas modigicadas y llevadas a cabo</t>
  </si>
  <si>
    <t>No se visualiza la evidencia</t>
  </si>
  <si>
    <t>Grupos que a la fecha no tienen acceso al CMA</t>
  </si>
  <si>
    <t>100% de creadores y gestores con acceso a CMA</t>
  </si>
  <si>
    <t>Reforzar el control de este proceso para garantizar que se respeten los cupos exclusivos de los estudiantes de la jornada diurna.</t>
  </si>
  <si>
    <t>Porcentaje de cumplimiento en la asignación de cupos a los Agentes creadores de Oportunidades (estudiantes).</t>
  </si>
  <si>
    <t>Se espera que para el 2025-2 se dé Cumplimiento de cupos programados en jornada diurna nocturna. Ya que los cupos solo se asignarán con certificación laboral o algún tipo de situación por calamidad comprobada</t>
  </si>
  <si>
    <t xml:space="preserve"> Girardot</t>
  </si>
  <si>
    <t>Pocos cupos para el CAI de ciudadania del siglo XXI</t>
  </si>
  <si>
    <r>
      <t>Se espera que para el 2025-2 se dé Cumplimiento de cupos programados para el CAI de Ciudadania de Siglo XXI, ya que</t>
    </r>
    <r>
      <rPr>
        <b/>
        <sz val="11"/>
        <color rgb="FF000000"/>
        <rFont val="Calibri"/>
        <family val="2"/>
        <scheme val="minor"/>
      </rPr>
      <t xml:space="preserve"> se </t>
    </r>
    <r>
      <rPr>
        <sz val="11"/>
        <color rgb="FF000000"/>
        <rFont val="Calibri"/>
        <family val="2"/>
        <scheme val="minor"/>
      </rPr>
      <t>solicitó a la Oficina de Desarrollo Académico ampliar el cupo solicitado.</t>
    </r>
  </si>
  <si>
    <t>Estrategia de diculgación de descuentos para las especializaciones</t>
  </si>
  <si>
    <t>30 de Julio de 2025</t>
  </si>
  <si>
    <t>Numero de personas que aplican el descuento</t>
  </si>
  <si>
    <t>Especialización en Transformación Digital</t>
  </si>
  <si>
    <t xml:space="preserve">Estrategia de comunicación del Instituto de Posgrados </t>
  </si>
  <si>
    <t>Plan de Marketing, publicitaria diseñadas.</t>
  </si>
  <si>
    <t>Se está implementando el plan de marketing con el objetivo de inscribir 1.000 Agentes creadores de Oportunidades (estudiantes) en los programas de posgrado, mediante una estrategia integral que combine acciones orgánicas, digitales, institucionales y académicas. Se evidencia pieza publicitaria del cronograma de inscripción, descuentos, concocimiento de oferta.</t>
  </si>
  <si>
    <t>Alistamiento de la Plataforma Institucional</t>
  </si>
  <si>
    <t>Numero de quejas, PQR -Correo a menor númerode quejas, mayor 
satisfacción.</t>
  </si>
  <si>
    <t>Se capacitó a 114 Agentes creadores de Oportunidades (estudiantes) del Instituto de Posgradosen el Campus Virtual. Para el 2025-1 se cuenta con 0% de solicitudes y consultas en PQRS.</t>
  </si>
  <si>
    <t xml:space="preserve">Actualización de contenidos con expertos disciplinares </t>
  </si>
  <si>
    <t>V convocatoría de Expertos disciplinares</t>
  </si>
  <si>
    <t>Se realizó la V convocatoría de Expertos disciplinares donde se espera encontrar 07 perfiles profesionales, el numero de expertos requeridos es 107.</t>
  </si>
  <si>
    <t xml:space="preserve">Mejorar los indicadores de resultados de las pruebas saber pro del programa </t>
  </si>
  <si>
    <t xml:space="preserve">30 de noviembre 2025 </t>
  </si>
  <si>
    <t xml:space="preserve">Al menos el 80% de los instrumentos CAI/CADI deben contener preguntas tipo Saber Pro al finalizar el IIsemestre académico 2025. </t>
  </si>
  <si>
    <t xml:space="preserve">Ciencias administrativas, económicas y contables </t>
  </si>
  <si>
    <t xml:space="preserve">Fortalecer la interacción entre los Creadores de Oportunidades de diferentes niveles. </t>
  </si>
  <si>
    <t xml:space="preserve">Implementar dinámicas grupales con gamificación u 70% otras herramientas que faciliten la interacción. Establecer equipos mixtos en las actividades de difusión </t>
  </si>
  <si>
    <t xml:space="preserve">Se requiere evaluar el impacto de estos espacios y recoger aportes para su mejora continua </t>
  </si>
  <si>
    <t xml:space="preserve">15 de septiembre de 2025 </t>
  </si>
  <si>
    <t>Aplicación de encuestas de satisfacción y percepción. Análisis de sugerencias y necesidades identificadas</t>
  </si>
  <si>
    <t xml:space="preserve">Lineamientos claros con una semana de antelación por parte de las instancias superiores </t>
  </si>
  <si>
    <t xml:space="preserve">Disponer de una comunicació n continua entre instancias superiores y equipo organizador de los encuentros dialógicos en el programa </t>
  </si>
  <si>
    <t xml:space="preserve">Puntualidad por parte de GCA y creadores de oportunidades, teniendo en cuenta la importancia del encuentro </t>
  </si>
  <si>
    <t>Control en el cumplimien to de la hora de inicio de cada encuentro dialógico</t>
  </si>
  <si>
    <t xml:space="preserve">Lineamientos de educación inclusiva no aplicados en encuentros dialógicos </t>
  </si>
  <si>
    <t xml:space="preserve">Consultar lineamientos de educación inclusiva a Bienestar Universitario </t>
  </si>
  <si>
    <t>Actividades básicas y en cada semana en los PAD de Física III y Algebra lineal.</t>
  </si>
  <si>
    <t xml:space="preserve">30 de julio de 2025 </t>
  </si>
  <si>
    <t>Solicitar la asignación de un gestor de ciencias básicas para la actualizació n de los PAD</t>
  </si>
  <si>
    <t xml:space="preserve">Ingeniería Electrónica </t>
  </si>
  <si>
    <t xml:space="preserve">Ingeniería </t>
  </si>
  <si>
    <t>No</t>
  </si>
  <si>
    <t xml:space="preserve">No </t>
  </si>
  <si>
    <t xml:space="preserve">30 de noviembre  de 2025 </t>
  </si>
  <si>
    <t>Ingenieria de Sistemas y Computación</t>
  </si>
  <si>
    <t>Ingenieria</t>
  </si>
  <si>
    <t xml:space="preserve"> Uso de herramientas alternativas a las aplicaciones de Microsoft, con el fin de facilitar el acceso de los archivos por parte de los involucrados.</t>
  </si>
  <si>
    <t>12 de septiembre de 2025</t>
  </si>
  <si>
    <t>Informe de entrega del proyecto  de gestión del conocimiento a traves de  Turtinin</t>
  </si>
  <si>
    <t>Disminuir el numero de estudiantes que no presentan los diagnósticos y nivelatorios</t>
  </si>
  <si>
    <t>Disminución de cantidad de estudiantes que no presentan los diagnosticos en las fechas pertinentes</t>
  </si>
  <si>
    <t>Mejorar actividades en encuentros sincronicos</t>
  </si>
  <si>
    <t>20 de noviembre de 2025</t>
  </si>
  <si>
    <t>Socialización del los programas socioeconomicos, especificamente el plan dia.</t>
  </si>
  <si>
    <t xml:space="preserve">20 de diciembre de 2025 </t>
  </si>
  <si>
    <t>Listas de asistencia y correo de solicitud a la Dirección de Bienestar Universitario</t>
  </si>
  <si>
    <t xml:space="preserve">Estudio de factibiliad de puntos de hidratación de agua potable </t>
  </si>
  <si>
    <t>29 de mayo de 2026</t>
  </si>
  <si>
    <t>Actas en el estudio de factibilidad del proyecto</t>
  </si>
  <si>
    <t xml:space="preserve">Medicina veterinaria y zootecnia </t>
  </si>
  <si>
    <t>Estrategias de acompañamiento y adaptación académica  para la nivelación de agentes creadores de oportunidades  con diferentes ritmos de aprendizaje</t>
  </si>
  <si>
    <t>07 de noviembre de 2025</t>
  </si>
  <si>
    <t>Aprobación de la nueva metodologia por parte de los estudiantes en el cuarto encuentro dialógico</t>
  </si>
  <si>
    <t>Topografia y geomática</t>
  </si>
  <si>
    <t xml:space="preserve">Soacha </t>
  </si>
  <si>
    <t xml:space="preserve">Proponer una capacitación inicial a los estudiantes para el desarrollo de los diagnosticos y nivelatorios </t>
  </si>
  <si>
    <t>Una capacitación sobre el desarrollo de los diagnosticos y nivelatorios</t>
  </si>
  <si>
    <t>15 de agosto de 2026</t>
  </si>
  <si>
    <t xml:space="preserve">CUARTO ENCUENTRO </t>
  </si>
  <si>
    <t>Mejorar el
estado actual de los pupitres de algunas aulas los cuales e encuentran en mal estado.</t>
  </si>
  <si>
    <t>30 de marzo de 2026</t>
  </si>
  <si>
    <t>Numero de pupitres cambiados sobre el total de pupitres deteriorados de todas las aulas.</t>
  </si>
  <si>
    <t>Aumentar la asistencia de Creadores de Oportunidades a los Encuentros Dialógicos del Programa de Ingeniería de Sistemas y Computación de la Seccional Ubaté.</t>
  </si>
  <si>
    <t>05 de marzo de 2026</t>
  </si>
  <si>
    <t>Asistencia al I Encuentro Dialógico IPA 2026</t>
  </si>
  <si>
    <t xml:space="preserve">Ingenieria </t>
  </si>
  <si>
    <t>El estudiante no puede visualizar su información académica en la plataforma institucional.</t>
  </si>
  <si>
    <t xml:space="preserve">19 de noviembre de 2025 </t>
  </si>
  <si>
    <t>Acceso habilitado.</t>
  </si>
  <si>
    <t>Especialización en Metodologías de Calidad del Desarrollo de Software</t>
  </si>
  <si>
    <t>Una Gestor del Conociemiento no contó con  acceso al espacio de Teams, dictando clases por chat, afectando grabaciones y orden pedagógico.</t>
  </si>
  <si>
    <t>Acceso  funcional desde semana 1.</t>
  </si>
  <si>
    <t>Algunos cursos no aparecen en el sistema de evaluación docente (Diseño Estadístico de Datos, Modelos de Negocio).</t>
  </si>
  <si>
    <t>13 de noviembre de 2025</t>
  </si>
  <si>
    <t>Profesores cargados correctamente en plataforma</t>
  </si>
  <si>
    <t>Los estudiantes requieren claridad en fechas, entregas y formatos de opción de grado.</t>
  </si>
  <si>
    <t>28 de noviembre de 2025</t>
  </si>
  <si>
    <t>Entregas puntuales.</t>
  </si>
  <si>
    <t>30 de septiembre de 2025</t>
  </si>
  <si>
    <t xml:space="preserve">30 de septiembre de 2025 </t>
  </si>
  <si>
    <t>Determinar momentos en los que se hará acompañamiento a los Agentes creadores de oportunidades.</t>
  </si>
  <si>
    <t>Asistencia a la citación del Comité curricular y detallando en el acta los compromisos acordados.</t>
  </si>
  <si>
    <t>01 de febrero de 2026</t>
  </si>
  <si>
    <t>Diseño del mapa de procesos, matriz documental y estandarización de procedimientos conforme al Sistema de Gestión de Calidad</t>
  </si>
  <si>
    <t>31 de julio de 2026</t>
  </si>
  <si>
    <t>Mapa de procesos y procedimientos aprobados</t>
  </si>
  <si>
    <t xml:space="preserve">Doctorado en Ciencias de la Educación </t>
  </si>
  <si>
    <t>Ampliar la cobertura de red mediante la instalación de Access Point en la seccional</t>
  </si>
  <si>
    <t>31 de abril de 2026</t>
  </si>
  <si>
    <t>Informe técnico de instalación y configuración de los Access Point.</t>
  </si>
  <si>
    <t>Ingenieria de Software</t>
  </si>
  <si>
    <t>Fortalecer la participación en los Encuentros Dialógicos del programa mediante estrategias de comunicación</t>
  </si>
  <si>
    <t>07 de mayo de 2026</t>
  </si>
  <si>
    <t xml:space="preserve">Asistencia al II Encuentro Dialógico del Programa Ingeniería de Sistemas y Computación </t>
  </si>
  <si>
    <t xml:space="preserve">Mejorar el estado actual de los pupitres de algunas aulas los cuales e encuentran en mal estado. </t>
  </si>
  <si>
    <t xml:space="preserve">En seguimiento su cumplimiento numero de pupitres cambiados sobre el total de pupitres deteriorados de todas las aulas.  </t>
  </si>
  <si>
    <t>10 de diciembre de 2026</t>
  </si>
  <si>
    <t>Implementar acciones de mejora para la divulgación de la ruta de género y atención de casos</t>
  </si>
  <si>
    <t>06 de julio de 2026</t>
  </si>
  <si>
    <t xml:space="preserve">Estudiantes con pleno conocimiento de la herramienta </t>
  </si>
  <si>
    <t xml:space="preserve">Licenciatura en Ciencias Sociales </t>
  </si>
  <si>
    <t xml:space="preserve">Educación </t>
  </si>
  <si>
    <t>12 de diciembre de 2026</t>
  </si>
  <si>
    <t>Implementar acciones de mejora para el mantenimiento, actualización y estabilidad de la plataforma institucional CMA</t>
  </si>
  <si>
    <t xml:space="preserve">Plataforma isntitucional del CMA actualizada con los requerimientos solicitados </t>
  </si>
  <si>
    <t>Fortalecer la gestión instituciona l mediante la búsqueda activa y establecimi ento de nuevos convenios con entidades públicas y privadas.</t>
  </si>
  <si>
    <t xml:space="preserve">Número de convenios gestionados y aprobados / porcentaje de incremento en convenios activos.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</si>
</sst>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m/d/yyyy"/>
  </numFmts>
  <fonts count="8" x14ac:knownFonts="1">
    <font>
      <sz val="11"/>
      <color theme="1"/>
      <name val="Calibri"/>
      <family val="2"/>
      <scheme val="minor"/>
    </font>
    <font>
      <sz val="11"/>
      <color rgb="FF000000"/>
      <name val="Calibri"/>
      <family val="2"/>
    </font>
    <font>
      <b/>
      <sz val="11"/>
      <color theme="0"/>
      <name val="Century Gothic"/>
      <family val="2"/>
    </font>
    <font>
      <sz val="11"/>
      <color theme="1"/>
      <name val="Century Gothic"/>
      <family val="2"/>
    </font>
    <font>
      <sz val="14"/>
      <color theme="1"/>
      <name val="Calibri"/>
      <family val="2"/>
      <scheme val="minor"/>
    </font>
    <font>
      <b/>
      <sz val="11"/>
      <color rgb="FF000000"/>
      <name val="Calibri"/>
      <family val="2"/>
      <scheme val="minor"/>
    </font>
    <font>
      <sz val="11"/>
      <color rgb="FF000000"/>
      <name val="Calibri"/>
      <family val="2"/>
      <scheme val="minor"/>
    </font>
    <font>
      <sz val="11"/>
      <color rgb="FF000000"/>
      <name val="Century Gothic"/>
      <family val="2"/>
    </font>
  </fonts>
  <fills count="19">
    <fill>
      <patternFill patternType="none"/>
    </fill>
    <fill>
      <patternFill patternType="gray125"/>
    </fill>
    <fill>
      <patternFill patternType="solid">
        <fgColor theme="9" tint="0.39997558519241921"/>
        <bgColor indexed="64"/>
      </patternFill>
    </fill>
    <fill>
      <patternFill patternType="solid">
        <fgColor theme="9"/>
        <bgColor indexed="64"/>
      </patternFill>
    </fill>
    <fill>
      <patternFill patternType="solid">
        <fgColor theme="0"/>
        <bgColor indexed="64"/>
      </patternFill>
    </fill>
    <fill>
      <patternFill patternType="solid">
        <fgColor rgb="FFFF0000"/>
        <bgColor indexed="64"/>
      </patternFill>
    </fill>
    <fill>
      <patternFill patternType="solid">
        <fgColor theme="7"/>
        <bgColor indexed="64"/>
      </patternFill>
    </fill>
    <fill>
      <patternFill patternType="solid">
        <fgColor theme="9" tint="0.59999389629810485"/>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5" tint="0.59999389629810485"/>
        <bgColor indexed="64"/>
      </patternFill>
    </fill>
    <fill>
      <patternFill patternType="solid">
        <fgColor theme="0" tint="-0.499984740745262"/>
        <bgColor indexed="64"/>
      </patternFill>
    </fill>
    <fill>
      <patternFill patternType="solid">
        <fgColor theme="7" tint="0.59999389629810485"/>
        <bgColor indexed="64"/>
      </patternFill>
    </fill>
    <fill>
      <patternFill patternType="solid">
        <fgColor theme="2" tint="-0.749992370372631"/>
        <bgColor indexed="64"/>
      </patternFill>
    </fill>
    <fill>
      <patternFill patternType="solid">
        <fgColor rgb="FFFFC0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81">
    <xf numFmtId="0" fontId="0" fillId="0" borderId="0" xfId="0"/>
    <xf numFmtId="0" fontId="3" fillId="0" borderId="1" xfId="0" applyFont="1" applyBorder="1" applyAlignment="1">
      <alignment vertical="center"/>
    </xf>
    <xf numFmtId="0" fontId="3" fillId="0" borderId="2" xfId="0" applyFont="1" applyBorder="1" applyAlignment="1">
      <alignment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4" borderId="1" xfId="0" applyFont="1" applyFill="1" applyBorder="1" applyAlignment="1">
      <alignment vertical="center" wrapText="1"/>
    </xf>
    <xf numFmtId="0" fontId="7" fillId="0" borderId="1" xfId="0" applyFont="1" applyBorder="1" applyAlignment="1">
      <alignment horizontal="left" vertical="center" wrapText="1"/>
    </xf>
    <xf numFmtId="0" fontId="3" fillId="4" borderId="1" xfId="0" applyFont="1" applyFill="1" applyBorder="1" applyAlignment="1">
      <alignment horizontal="center" vertical="center" wrapText="1"/>
    </xf>
    <xf numFmtId="0" fontId="3" fillId="4" borderId="2" xfId="0" applyFont="1" applyFill="1" applyBorder="1" applyAlignment="1">
      <alignment vertical="center" wrapText="1"/>
    </xf>
    <xf numFmtId="0" fontId="3" fillId="0" borderId="2" xfId="0" applyFont="1" applyBorder="1" applyAlignment="1">
      <alignment vertical="center" wrapText="1"/>
    </xf>
    <xf numFmtId="0" fontId="3" fillId="0" borderId="4" xfId="0" applyFont="1" applyBorder="1" applyAlignment="1">
      <alignment horizontal="center" vertical="center"/>
    </xf>
    <xf numFmtId="0" fontId="2" fillId="3" borderId="5" xfId="0" applyFont="1" applyFill="1" applyBorder="1" applyAlignment="1">
      <alignment horizontal="center"/>
    </xf>
    <xf numFmtId="0" fontId="2" fillId="3" borderId="6" xfId="0" applyFont="1" applyFill="1" applyBorder="1" applyAlignment="1">
      <alignment horizontal="center"/>
    </xf>
    <xf numFmtId="0" fontId="2" fillId="3" borderId="6" xfId="0" applyFont="1" applyFill="1" applyBorder="1"/>
    <xf numFmtId="0" fontId="2" fillId="3" borderId="6" xfId="0" applyFont="1" applyFill="1" applyBorder="1" applyAlignment="1">
      <alignment horizontal="center" wrapText="1"/>
    </xf>
    <xf numFmtId="9" fontId="4" fillId="3" borderId="1" xfId="0" applyNumberFormat="1" applyFont="1" applyFill="1" applyBorder="1" applyAlignment="1">
      <alignment horizontal="center" vertical="center" wrapText="1"/>
    </xf>
    <xf numFmtId="0" fontId="3" fillId="7"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3" fillId="8"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3" fillId="9"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0" fillId="4" borderId="1" xfId="0" applyFill="1" applyBorder="1" applyAlignment="1">
      <alignment vertical="center" wrapText="1"/>
    </xf>
    <xf numFmtId="0" fontId="3" fillId="11" borderId="1" xfId="0" applyFont="1" applyFill="1" applyBorder="1" applyAlignment="1">
      <alignment horizontal="center" vertical="center" wrapText="1"/>
    </xf>
    <xf numFmtId="9" fontId="4" fillId="5" borderId="1" xfId="0" applyNumberFormat="1" applyFont="1" applyFill="1" applyBorder="1" applyAlignment="1">
      <alignment horizontal="center" vertical="center"/>
    </xf>
    <xf numFmtId="0" fontId="7" fillId="0" borderId="1" xfId="0" applyFont="1" applyBorder="1" applyAlignment="1">
      <alignment horizontal="center" vertical="center" wrapText="1"/>
    </xf>
    <xf numFmtId="0" fontId="3" fillId="12" borderId="1" xfId="0" applyFont="1" applyFill="1" applyBorder="1" applyAlignment="1">
      <alignment horizontal="center" vertical="center" wrapText="1"/>
    </xf>
    <xf numFmtId="0" fontId="0" fillId="12" borderId="1" xfId="0" applyFill="1" applyBorder="1" applyAlignment="1">
      <alignment horizontal="center"/>
    </xf>
    <xf numFmtId="9" fontId="0" fillId="3" borderId="1" xfId="0" applyNumberFormat="1" applyFill="1" applyBorder="1" applyAlignment="1">
      <alignment horizontal="center" vertical="center"/>
    </xf>
    <xf numFmtId="0" fontId="0" fillId="7" borderId="1" xfId="0" applyFill="1" applyBorder="1" applyAlignment="1">
      <alignment horizontal="center"/>
    </xf>
    <xf numFmtId="9" fontId="0" fillId="5" borderId="1" xfId="0" applyNumberFormat="1" applyFill="1" applyBorder="1" applyAlignment="1">
      <alignment horizontal="center" vertical="center"/>
    </xf>
    <xf numFmtId="0" fontId="3" fillId="13" borderId="1" xfId="0" applyFont="1" applyFill="1" applyBorder="1" applyAlignment="1">
      <alignment horizontal="center" vertical="center" wrapText="1"/>
    </xf>
    <xf numFmtId="0" fontId="0" fillId="13" borderId="1" xfId="0" applyFill="1" applyBorder="1" applyAlignment="1">
      <alignment horizontal="center"/>
    </xf>
    <xf numFmtId="0" fontId="3" fillId="14" borderId="1" xfId="0" applyFont="1" applyFill="1" applyBorder="1" applyAlignment="1">
      <alignment horizontal="center" vertical="center" wrapText="1"/>
    </xf>
    <xf numFmtId="0" fontId="0" fillId="14" borderId="1" xfId="0" applyFill="1" applyBorder="1" applyAlignment="1">
      <alignment horizontal="center"/>
    </xf>
    <xf numFmtId="0" fontId="3" fillId="0" borderId="3" xfId="0" applyFont="1" applyBorder="1" applyAlignment="1">
      <alignment vertical="center"/>
    </xf>
    <xf numFmtId="0" fontId="3" fillId="0" borderId="1" xfId="0" applyFont="1" applyBorder="1" applyAlignment="1">
      <alignment vertical="center" wrapText="1"/>
    </xf>
    <xf numFmtId="0" fontId="6" fillId="0" borderId="1" xfId="0" applyFont="1" applyBorder="1" applyAlignment="1">
      <alignment vertical="center" wrapText="1"/>
    </xf>
    <xf numFmtId="0" fontId="3" fillId="15" borderId="1" xfId="0" applyFont="1" applyFill="1" applyBorder="1" applyAlignment="1">
      <alignment horizontal="center" vertical="center" wrapText="1"/>
    </xf>
    <xf numFmtId="0" fontId="0" fillId="0" borderId="1" xfId="0" applyBorder="1" applyAlignment="1">
      <alignment horizontal="center" vertical="center" wrapText="1"/>
    </xf>
    <xf numFmtId="0" fontId="3" fillId="2"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1" fillId="0" borderId="1" xfId="0" applyFont="1" applyBorder="1" applyAlignment="1">
      <alignment wrapText="1"/>
    </xf>
    <xf numFmtId="0" fontId="3" fillId="17" borderId="1" xfId="0" applyFont="1" applyFill="1" applyBorder="1" applyAlignment="1">
      <alignment horizontal="center"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9" fontId="4" fillId="5" borderId="1" xfId="0" applyNumberFormat="1" applyFont="1" applyFill="1" applyBorder="1" applyAlignment="1">
      <alignment horizontal="center" vertical="center" wrapText="1"/>
    </xf>
    <xf numFmtId="9" fontId="4" fillId="6" borderId="1" xfId="0" applyNumberFormat="1" applyFont="1" applyFill="1" applyBorder="1" applyAlignment="1">
      <alignment horizontal="center" vertical="center"/>
    </xf>
    <xf numFmtId="9" fontId="4" fillId="15" borderId="1" xfId="0" applyNumberFormat="1" applyFont="1" applyFill="1" applyBorder="1" applyAlignment="1">
      <alignment horizontal="center" vertical="center" wrapText="1"/>
    </xf>
    <xf numFmtId="0" fontId="1" fillId="0" borderId="1" xfId="0" applyFont="1" applyBorder="1" applyAlignment="1">
      <alignment vertical="center" wrapText="1"/>
    </xf>
    <xf numFmtId="0" fontId="0" fillId="15" borderId="1" xfId="0" applyFill="1" applyBorder="1" applyAlignment="1">
      <alignment horizontal="center" vertical="center"/>
    </xf>
    <xf numFmtId="0" fontId="0" fillId="2" borderId="1" xfId="0" applyFill="1" applyBorder="1" applyAlignment="1">
      <alignment horizontal="center" vertical="center"/>
    </xf>
    <xf numFmtId="0" fontId="0" fillId="16" borderId="1" xfId="0" applyFill="1" applyBorder="1" applyAlignment="1">
      <alignment horizontal="center" vertical="center"/>
    </xf>
    <xf numFmtId="0" fontId="0" fillId="9" borderId="1" xfId="0" applyFill="1" applyBorder="1" applyAlignment="1">
      <alignment horizontal="center" vertical="center"/>
    </xf>
    <xf numFmtId="0" fontId="0" fillId="17" borderId="1" xfId="0" applyFill="1" applyBorder="1" applyAlignment="1">
      <alignment horizontal="center" vertical="center"/>
    </xf>
    <xf numFmtId="0" fontId="0" fillId="7" borderId="1" xfId="0" applyFill="1" applyBorder="1" applyAlignment="1">
      <alignment horizontal="center" vertical="center"/>
    </xf>
    <xf numFmtId="14" fontId="3" fillId="0" borderId="1" xfId="0" applyNumberFormat="1" applyFont="1" applyBorder="1" applyAlignment="1">
      <alignment horizontal="center" vertical="center" wrapText="1"/>
    </xf>
    <xf numFmtId="14" fontId="3" fillId="4" borderId="1" xfId="0" applyNumberFormat="1" applyFont="1" applyFill="1" applyBorder="1" applyAlignment="1">
      <alignment horizontal="center" vertical="center" wrapText="1"/>
    </xf>
    <xf numFmtId="9" fontId="4" fillId="3" borderId="1" xfId="0" applyNumberFormat="1" applyFont="1" applyFill="1" applyBorder="1" applyAlignment="1">
      <alignment horizontal="center" vertical="center"/>
    </xf>
    <xf numFmtId="167" fontId="3" fillId="4" borderId="1" xfId="0" applyNumberFormat="1" applyFont="1" applyFill="1" applyBorder="1" applyAlignment="1">
      <alignment horizontal="center" vertical="center" wrapText="1"/>
    </xf>
    <xf numFmtId="0" fontId="3" fillId="18" borderId="4" xfId="0" applyFont="1" applyFill="1" applyBorder="1" applyAlignment="1">
      <alignment horizontal="center" vertical="center"/>
    </xf>
    <xf numFmtId="0" fontId="3" fillId="18" borderId="3" xfId="0" applyFont="1" applyFill="1" applyBorder="1" applyAlignment="1">
      <alignment vertical="center"/>
    </xf>
    <xf numFmtId="0" fontId="3" fillId="18" borderId="2" xfId="0" applyFont="1" applyFill="1" applyBorder="1" applyAlignment="1">
      <alignment vertical="center" wrapText="1"/>
    </xf>
    <xf numFmtId="167" fontId="3" fillId="18" borderId="1" xfId="0" applyNumberFormat="1" applyFont="1" applyFill="1" applyBorder="1" applyAlignment="1">
      <alignment horizontal="center" vertical="center" wrapText="1"/>
    </xf>
    <xf numFmtId="0" fontId="3" fillId="18" borderId="1" xfId="0" applyFont="1" applyFill="1" applyBorder="1" applyAlignment="1">
      <alignment horizontal="center" vertical="center" wrapText="1"/>
    </xf>
    <xf numFmtId="0" fontId="3" fillId="0" borderId="3" xfId="0" applyFont="1" applyBorder="1" applyAlignment="1">
      <alignment vertical="center" wrapText="1"/>
    </xf>
    <xf numFmtId="0" fontId="3" fillId="0" borderId="3" xfId="0" applyFont="1" applyBorder="1" applyAlignment="1">
      <alignment horizontal="center" vertical="center" wrapText="1"/>
    </xf>
    <xf numFmtId="0" fontId="3" fillId="4" borderId="4" xfId="0" applyFont="1" applyFill="1" applyBorder="1" applyAlignment="1">
      <alignment horizontal="center" vertical="center"/>
    </xf>
    <xf numFmtId="0" fontId="3" fillId="4" borderId="3" xfId="0" applyFont="1" applyFill="1" applyBorder="1" applyAlignment="1">
      <alignment vertical="center"/>
    </xf>
    <xf numFmtId="0" fontId="3" fillId="18" borderId="1" xfId="0" applyFont="1" applyFill="1" applyBorder="1" applyAlignment="1">
      <alignment vertical="center"/>
    </xf>
    <xf numFmtId="0" fontId="3" fillId="18" borderId="1" xfId="0" applyFont="1" applyFill="1" applyBorder="1" applyAlignment="1">
      <alignment vertical="center" wrapText="1"/>
    </xf>
    <xf numFmtId="0" fontId="3" fillId="18" borderId="1" xfId="0" applyFont="1" applyFill="1" applyBorder="1" applyAlignment="1">
      <alignment horizontal="center" vertical="center"/>
    </xf>
    <xf numFmtId="0" fontId="3" fillId="18" borderId="1" xfId="0" applyFont="1" applyFill="1" applyBorder="1" applyAlignment="1">
      <alignment horizontal="left" vertical="center" wrapText="1"/>
    </xf>
    <xf numFmtId="167" fontId="3" fillId="4" borderId="2" xfId="0" applyNumberFormat="1" applyFont="1" applyFill="1" applyBorder="1" applyAlignment="1">
      <alignment horizontal="center" vertical="center" wrapText="1"/>
    </xf>
    <xf numFmtId="0" fontId="3" fillId="0" borderId="2" xfId="0" applyFont="1" applyBorder="1" applyAlignment="1">
      <alignment horizontal="center" vertical="center" wrapText="1"/>
    </xf>
    <xf numFmtId="9" fontId="4" fillId="15" borderId="2" xfId="0" applyNumberFormat="1" applyFont="1" applyFill="1" applyBorder="1" applyAlignment="1">
      <alignment horizontal="center" vertical="center" wrapText="1"/>
    </xf>
    <xf numFmtId="0" fontId="1" fillId="0" borderId="2" xfId="0" applyFont="1" applyBorder="1" applyAlignment="1">
      <alignment wrapText="1"/>
    </xf>
    <xf numFmtId="0" fontId="3" fillId="17" borderId="2" xfId="0" applyFont="1" applyFill="1" applyBorder="1" applyAlignment="1">
      <alignment horizontal="center" vertical="center" wrapText="1"/>
    </xf>
    <xf numFmtId="0" fontId="0" fillId="17" borderId="2" xfId="0" applyFill="1" applyBorder="1" applyAlignment="1">
      <alignment horizontal="center" vertical="center"/>
    </xf>
    <xf numFmtId="0" fontId="3" fillId="4" borderId="2" xfId="0" applyFont="1" applyFill="1" applyBorder="1" applyAlignment="1">
      <alignment horizontal="center" vertical="center" wrapText="1"/>
    </xf>
  </cellXfs>
  <cellStyles count="1">
    <cellStyle name="Normal" xfId="0" builtinId="0"/>
  </cellStyles>
  <dxfs count="18">
    <dxf>
      <font>
        <b val="0"/>
        <i val="0"/>
        <strike val="0"/>
        <condense val="0"/>
        <extend val="0"/>
        <outline val="0"/>
        <shadow val="0"/>
        <u val="none"/>
        <vertAlign val="baseline"/>
        <sz val="11"/>
        <color theme="1"/>
        <name val="Century Gothic"/>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entury Gothic"/>
        <family val="2"/>
        <scheme val="none"/>
      </font>
      <fill>
        <patternFill patternType="solid">
          <fgColor indexed="64"/>
          <bgColor theme="5" tint="0.399975585192419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entury Gothic"/>
        <family val="2"/>
        <scheme val="none"/>
      </font>
      <fill>
        <patternFill patternType="solid">
          <fgColor indexed="64"/>
          <bgColor theme="5" tint="0.399975585192419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entury Gothic"/>
        <family val="2"/>
        <scheme val="none"/>
      </font>
      <fill>
        <patternFill patternType="solid">
          <fgColor indexed="64"/>
          <bgColor theme="5" tint="0.399975585192419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entury Gothic"/>
        <family val="2"/>
        <scheme val="none"/>
      </font>
      <fill>
        <patternFill patternType="solid">
          <fgColor indexed="64"/>
          <bgColor theme="5" tint="0.399975585192419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4"/>
      </font>
      <numFmt numFmtId="13" formatCode="0%"/>
      <fill>
        <patternFill patternType="solid">
          <fgColor indexed="64"/>
          <bgColor rgb="FFFFC00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entury Gothic"/>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entury Gothic"/>
        <family val="2"/>
        <scheme val="none"/>
      </font>
      <numFmt numFmtId="167" formatCode="m/d/yyyy"/>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entury Gothic"/>
        <family val="2"/>
        <scheme val="none"/>
      </font>
      <numFmt numFmtId="0" formatCode="General"/>
      <alignment horizontal="general"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entury Gothic"/>
        <family val="2"/>
        <scheme val="none"/>
      </font>
      <alignment horizontal="general" vertical="center" textRotation="0" wrapText="0"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theme="1"/>
        <name val="Century Gothic"/>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bottom style="thin">
          <color indexed="64"/>
        </bottom>
      </border>
    </dxf>
    <dxf>
      <border outline="0">
        <left style="thin">
          <color indexed="64"/>
        </left>
        <top style="thin">
          <color indexed="64"/>
        </top>
      </border>
    </dxf>
    <dxf>
      <font>
        <b val="0"/>
        <i val="0"/>
        <strike val="0"/>
        <condense val="0"/>
        <extend val="0"/>
        <outline val="0"/>
        <shadow val="0"/>
        <u val="none"/>
        <vertAlign val="baseline"/>
        <sz val="11"/>
        <color theme="1"/>
        <name val="Century Gothic"/>
        <family val="2"/>
        <scheme val="none"/>
      </font>
      <fill>
        <patternFill patternType="solid">
          <fgColor indexed="64"/>
          <bgColor theme="5" tint="0.39997558519241921"/>
        </patternFill>
      </fill>
      <alignment horizontal="center" vertical="center" textRotation="0" wrapText="1" indent="0" justifyLastLine="0" shrinkToFit="0" readingOrder="0"/>
    </dxf>
    <dxf>
      <font>
        <b/>
        <i val="0"/>
        <strike val="0"/>
        <condense val="0"/>
        <extend val="0"/>
        <outline val="0"/>
        <shadow val="0"/>
        <u val="none"/>
        <vertAlign val="baseline"/>
        <sz val="11"/>
        <color theme="0"/>
        <name val="Century Gothic"/>
        <family val="2"/>
        <scheme val="none"/>
      </font>
      <fill>
        <patternFill patternType="solid">
          <fgColor indexed="64"/>
          <bgColor theme="9"/>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21F886A-95AC-4C71-B046-77B2AC4E7F45}" name="PM_3" displayName="PM_3" ref="A1:N55" totalsRowShown="0" headerRowDxfId="17" dataDxfId="16" headerRowBorderDxfId="14" tableBorderDxfId="15">
  <autoFilter ref="A1:N55" xr:uid="{921F886A-95AC-4C71-B046-77B2AC4E7F45}"/>
  <tableColumns count="14">
    <tableColumn id="1" xr3:uid="{DDB7F76D-C93D-4527-A4D8-0A8E30D2AA34}" name="CATEGORIA" dataDxfId="13"/>
    <tableColumn id="2" xr3:uid="{1C3D5EE6-A669-4946-AEA7-43741C1C348E}" name="SUBCATEGORIA" dataDxfId="12"/>
    <tableColumn id="12" xr3:uid="{1B62482B-DA63-46CC-AFB6-D08B7F70B3B2}" name="PLAN DE MEJORAMIENTO" dataDxfId="11">
      <calculatedColumnFormula>+UPPER("plan de mejoramiento  "&amp;PM_3[[#This Row],[ENCUENTRO]]&amp;" "&amp;PM_3[[#This Row],[AÑO]]&amp;" : "&amp;PM_3[[#This Row],[PROGRAMA]]&amp;" "&amp;PM_3[[#This Row],[UNIDAD REGIONAL]]&amp;" "&amp;PM_3[[#This Row],[FACULTAD]])</calculatedColumnFormula>
    </tableColumn>
    <tableColumn id="3" xr3:uid="{70789282-F8A6-4902-BA06-A05AD4BCB0AB}" name="ACTIVIDAD" dataDxfId="10"/>
    <tableColumn id="4" xr3:uid="{6D7A2666-8B0B-4D47-8253-09974CADFFF1}" name="FECHA DE CUMPLIMIENTO" dataDxfId="9"/>
    <tableColumn id="5" xr3:uid="{BDE2286C-F21D-46B2-BEB2-A034ADC78EBD}" name="EVIDENCIAS DE CUMPLIMIENTO " dataDxfId="8"/>
    <tableColumn id="6" xr3:uid="{778412FC-9A2D-4F5A-BFFB-27E2230C3337}" name="CALIFICACION DE CUMPLIMIENTO" dataDxfId="7"/>
    <tableColumn id="7" xr3:uid="{8B8C7C17-2579-4F39-B8AF-7CC3DF1A1DF0}" name="EFECTIVIDAD" dataDxfId="6"/>
    <tableColumn id="8" xr3:uid="{8B122931-9C9D-4097-AEB3-863D0785A461}" name="PROGRAMA" dataDxfId="5"/>
    <tableColumn id="9" xr3:uid="{F2EECD44-D32F-440B-91E4-2098CBF3E0B7}" name="UNIDAD REGIONAL" dataDxfId="4"/>
    <tableColumn id="10" xr3:uid="{BA2F2873-7380-40D6-9833-1BF7424170A1}" name="FACULTAD" dataDxfId="3"/>
    <tableColumn id="11" xr3:uid="{41C10CAA-0EBC-461E-A769-EAEE1E8D81B0}" name="AÑO" dataDxfId="2"/>
    <tableColumn id="14" xr3:uid="{7819D59D-0539-447C-81FB-4FDC95972C10}" name="ENCUENTRO" dataDxfId="1"/>
    <tableColumn id="13" xr3:uid="{CCDE0D46-6CAB-473C-9562-53610DEE66E7}" name="formulado"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6929B-3374-435F-9C11-1C7C85C09DD7}">
  <dimension ref="A1:N55"/>
  <sheetViews>
    <sheetView tabSelected="1" topLeftCell="A2" workbookViewId="0">
      <selection activeCell="M2" sqref="M2"/>
    </sheetView>
  </sheetViews>
  <sheetFormatPr baseColWidth="10" defaultRowHeight="15" x14ac:dyDescent="0.25"/>
  <sheetData>
    <row r="1" spans="1:14" ht="57.75" x14ac:dyDescent="0.25">
      <c r="A1" s="12" t="s">
        <v>13</v>
      </c>
      <c r="B1" s="13" t="s">
        <v>14</v>
      </c>
      <c r="C1" s="13" t="s">
        <v>15</v>
      </c>
      <c r="D1" s="13" t="s">
        <v>16</v>
      </c>
      <c r="E1" s="13" t="s">
        <v>17</v>
      </c>
      <c r="F1" s="15" t="s">
        <v>18</v>
      </c>
      <c r="G1" s="14" t="s">
        <v>19</v>
      </c>
      <c r="H1" s="13" t="s">
        <v>20</v>
      </c>
      <c r="I1" s="13" t="s">
        <v>21</v>
      </c>
      <c r="J1" s="13" t="s">
        <v>6</v>
      </c>
      <c r="K1" s="13" t="s">
        <v>5</v>
      </c>
      <c r="L1" s="13" t="s">
        <v>7</v>
      </c>
      <c r="M1" s="13" t="s">
        <v>22</v>
      </c>
      <c r="N1" s="13" t="s">
        <v>23</v>
      </c>
    </row>
    <row r="2" spans="1:14" ht="379.5" x14ac:dyDescent="0.25">
      <c r="A2" s="11" t="s">
        <v>24</v>
      </c>
      <c r="B2" s="45" t="s">
        <v>25</v>
      </c>
      <c r="C2" s="10" t="str">
        <f>+UPPER("plan de mejoramiento  "&amp;PM_3[[#This Row],[ENCUENTRO]]&amp;" "&amp;PM_3[[#This Row],[AÑO]]&amp;" : "&amp;PM_3[[#This Row],[PROGRAMA]]&amp;" "&amp;PM_3[[#This Row],[UNIDAD REGIONAL]]&amp;" "&amp;PM_3[[#This Row],[FACULTAD]])</f>
        <v>PLAN DE MEJORAMIENTO  PRIMER ENCUENTRO 2024 : ZOOTECNIA  UBATÉ FACULTAD DE CIENCIAS AGROPECUARIAS</v>
      </c>
      <c r="D2" s="3" t="s">
        <v>26</v>
      </c>
      <c r="E2" s="57" t="s">
        <v>27</v>
      </c>
      <c r="F2" s="3" t="s">
        <v>28</v>
      </c>
      <c r="G2" s="16">
        <v>1</v>
      </c>
      <c r="H2" s="3" t="s">
        <v>29</v>
      </c>
      <c r="I2" s="17" t="s">
        <v>30</v>
      </c>
      <c r="J2" s="17" t="s">
        <v>0</v>
      </c>
      <c r="K2" s="17" t="s">
        <v>31</v>
      </c>
      <c r="L2" s="17">
        <v>2024</v>
      </c>
      <c r="M2" s="17" t="s">
        <v>11</v>
      </c>
      <c r="N2" s="8" t="s">
        <v>32</v>
      </c>
    </row>
    <row r="3" spans="1:14" ht="214.5" x14ac:dyDescent="0.25">
      <c r="A3" s="11" t="s">
        <v>33</v>
      </c>
      <c r="B3" s="2" t="s">
        <v>34</v>
      </c>
      <c r="C3" s="10" t="str">
        <f>+UPPER("plan de mejoramiento  "&amp;PM_3[[#This Row],[ENCUENTRO]]&amp;" "&amp;PM_3[[#This Row],[AÑO]]&amp;" : "&amp;PM_3[[#This Row],[PROGRAMA]]&amp;" "&amp;PM_3[[#This Row],[UNIDAD REGIONAL]]&amp;" "&amp;PM_3[[#This Row],[FACULTAD]])</f>
        <v>PLAN DE MEJORAMIENTO  PRIMER ENCUENTRO 2024 : ZOOTECNIA  UBATÉ FACULTAD DE CIENCIAS AGROPECUARIAS</v>
      </c>
      <c r="D3" s="9" t="s">
        <v>35</v>
      </c>
      <c r="E3" s="58" t="s">
        <v>36</v>
      </c>
      <c r="F3" s="3" t="s">
        <v>37</v>
      </c>
      <c r="G3" s="25">
        <v>0</v>
      </c>
      <c r="H3" s="3"/>
      <c r="I3" s="17" t="s">
        <v>30</v>
      </c>
      <c r="J3" s="17" t="s">
        <v>0</v>
      </c>
      <c r="K3" s="17" t="s">
        <v>31</v>
      </c>
      <c r="L3" s="17">
        <v>2024</v>
      </c>
      <c r="M3" s="17" t="s">
        <v>11</v>
      </c>
      <c r="N3" s="8" t="s">
        <v>32</v>
      </c>
    </row>
    <row r="4" spans="1:14" ht="214.5" x14ac:dyDescent="0.25">
      <c r="A4" s="11" t="s">
        <v>24</v>
      </c>
      <c r="B4" s="5" t="s">
        <v>38</v>
      </c>
      <c r="C4" s="10" t="str">
        <f>+UPPER("plan de mejoramiento  "&amp;PM_3[[#This Row],[ENCUENTRO]]&amp;" "&amp;PM_3[[#This Row],[AÑO]]&amp;" : "&amp;PM_3[[#This Row],[PROGRAMA]]&amp;" "&amp;PM_3[[#This Row],[UNIDAD REGIONAL]]&amp;" "&amp;PM_3[[#This Row],[FACULTAD]])</f>
        <v>PLAN DE MEJORAMIENTO  PRIMER ENCUENTRO 2024 : ZOOTECNIA  UBATÉ FACULTAD DE CIENCIAS AGROPECUARIAS</v>
      </c>
      <c r="D4" s="3" t="s">
        <v>39</v>
      </c>
      <c r="E4" s="57" t="s">
        <v>27</v>
      </c>
      <c r="F4" s="3" t="s">
        <v>40</v>
      </c>
      <c r="G4" s="16">
        <v>1</v>
      </c>
      <c r="H4" s="18" t="s">
        <v>41</v>
      </c>
      <c r="I4" s="17" t="s">
        <v>30</v>
      </c>
      <c r="J4" s="17" t="s">
        <v>0</v>
      </c>
      <c r="K4" s="17" t="s">
        <v>31</v>
      </c>
      <c r="L4" s="17">
        <v>2024</v>
      </c>
      <c r="M4" s="17" t="s">
        <v>11</v>
      </c>
      <c r="N4" s="8" t="s">
        <v>32</v>
      </c>
    </row>
    <row r="5" spans="1:14" ht="409.5" x14ac:dyDescent="0.25">
      <c r="A5" s="11" t="s">
        <v>33</v>
      </c>
      <c r="B5" s="2" t="s">
        <v>34</v>
      </c>
      <c r="C5" s="10" t="str">
        <f>+UPPER("plan de mejoramiento  "&amp;PM_3[[#This Row],[ENCUENTRO]]&amp;" "&amp;PM_3[[#This Row],[AÑO]]&amp;" : "&amp;PM_3[[#This Row],[PROGRAMA]]&amp;" "&amp;PM_3[[#This Row],[UNIDAD REGIONAL]]&amp;" "&amp;PM_3[[#This Row],[FACULTAD]])</f>
        <v>PLAN DE MEJORAMIENTO  SEGUNDO ENCUENTRO 2024 : INGENIERIA AGRONOMICA  FACATATIVÁ FACULTAD DE CIENCIAS AGROPECUARIAS</v>
      </c>
      <c r="D5" s="6" t="s">
        <v>42</v>
      </c>
      <c r="E5" s="57" t="s">
        <v>43</v>
      </c>
      <c r="F5" s="4" t="s">
        <v>44</v>
      </c>
      <c r="G5" s="16">
        <v>1</v>
      </c>
      <c r="H5" s="18" t="s">
        <v>45</v>
      </c>
      <c r="I5" s="19" t="s">
        <v>46</v>
      </c>
      <c r="J5" s="19" t="s">
        <v>47</v>
      </c>
      <c r="K5" s="19" t="s">
        <v>31</v>
      </c>
      <c r="L5" s="19">
        <v>2024</v>
      </c>
      <c r="M5" s="19" t="s">
        <v>12</v>
      </c>
      <c r="N5" s="8" t="s">
        <v>32</v>
      </c>
    </row>
    <row r="6" spans="1:14" ht="360" x14ac:dyDescent="0.25">
      <c r="A6" s="11" t="s">
        <v>33</v>
      </c>
      <c r="B6" s="2" t="s">
        <v>34</v>
      </c>
      <c r="C6" s="10" t="str">
        <f>+UPPER("plan de mejoramiento  "&amp;PM_3[[#This Row],[ENCUENTRO]]&amp;" "&amp;PM_3[[#This Row],[AÑO]]&amp;" : "&amp;PM_3[[#This Row],[PROGRAMA]]&amp;" "&amp;PM_3[[#This Row],[UNIDAD REGIONAL]]&amp;" "&amp;PM_3[[#This Row],[FACULTAD]])</f>
        <v>PLAN DE MEJORAMIENTO  TERCER ENCUENTRO 2024 : ZOOTECNIA   FUSAGASUGÁ FACULTAD DE CIENCIAS AGROPECUARIAS</v>
      </c>
      <c r="D6" s="9" t="s">
        <v>48</v>
      </c>
      <c r="E6" s="58" t="s">
        <v>49</v>
      </c>
      <c r="F6" s="4" t="s">
        <v>50</v>
      </c>
      <c r="G6" s="16">
        <v>1</v>
      </c>
      <c r="H6" s="20" t="s">
        <v>51</v>
      </c>
      <c r="I6" s="21" t="s">
        <v>30</v>
      </c>
      <c r="J6" s="21" t="s">
        <v>52</v>
      </c>
      <c r="K6" s="21" t="s">
        <v>31</v>
      </c>
      <c r="L6" s="21">
        <v>2024</v>
      </c>
      <c r="M6" s="21" t="s">
        <v>53</v>
      </c>
      <c r="N6" s="8" t="s">
        <v>32</v>
      </c>
    </row>
    <row r="7" spans="1:14" ht="346.5" x14ac:dyDescent="0.25">
      <c r="A7" s="11" t="s">
        <v>33</v>
      </c>
      <c r="B7" s="2" t="s">
        <v>34</v>
      </c>
      <c r="C7" s="10" t="str">
        <f>+UPPER("plan de mejoramiento  "&amp;PM_3[[#This Row],[ENCUENTRO]]&amp;" "&amp;PM_3[[#This Row],[AÑO]]&amp;" : "&amp;PM_3[[#This Row],[PROGRAMA]]&amp;" "&amp;PM_3[[#This Row],[UNIDAD REGIONAL]]&amp;" "&amp;PM_3[[#This Row],[FACULTAD]])</f>
        <v>PLAN DE MEJORAMIENTO  SEGUNDO ENCUENTRO 2024 : ADMINISTRACIÓN DE EMPRESAS UBATÉ FACULTAD DE CIENCIAS ADMINISTRATIVAS ECONOMICAS Y CONTABLES</v>
      </c>
      <c r="D7" s="6" t="s">
        <v>54</v>
      </c>
      <c r="E7" s="57" t="s">
        <v>55</v>
      </c>
      <c r="F7" s="3" t="s">
        <v>56</v>
      </c>
      <c r="G7" s="16">
        <v>1</v>
      </c>
      <c r="H7" s="20" t="s">
        <v>57</v>
      </c>
      <c r="I7" s="22" t="s">
        <v>58</v>
      </c>
      <c r="J7" s="22" t="s">
        <v>0</v>
      </c>
      <c r="K7" s="22" t="s">
        <v>59</v>
      </c>
      <c r="L7" s="22">
        <v>2024</v>
      </c>
      <c r="M7" s="22" t="s">
        <v>12</v>
      </c>
      <c r="N7" s="8" t="s">
        <v>32</v>
      </c>
    </row>
    <row r="8" spans="1:14" ht="247.5" x14ac:dyDescent="0.25">
      <c r="A8" s="11" t="s">
        <v>33</v>
      </c>
      <c r="B8" s="2" t="s">
        <v>34</v>
      </c>
      <c r="C8" s="10" t="str">
        <f>+UPPER("plan de mejoramiento  "&amp;PM_3[[#This Row],[ENCUENTRO]]&amp;" "&amp;PM_3[[#This Row],[AÑO]]&amp;" : "&amp;PM_3[[#This Row],[PROGRAMA]]&amp;" "&amp;PM_3[[#This Row],[UNIDAD REGIONAL]]&amp;" "&amp;PM_3[[#This Row],[FACULTAD]])</f>
        <v>PLAN DE MEJORAMIENTO  SEGUNDO ENCUENTRO 2024 : ZOOTECNIA  UBATÉ FACULTAD DE CIENCIAS AGROPECUARIAS</v>
      </c>
      <c r="D8" s="6" t="s">
        <v>60</v>
      </c>
      <c r="E8" s="57" t="s">
        <v>61</v>
      </c>
      <c r="F8" s="3" t="s">
        <v>62</v>
      </c>
      <c r="G8" s="47">
        <v>0</v>
      </c>
      <c r="H8" s="23" t="s">
        <v>63</v>
      </c>
      <c r="I8" s="24" t="s">
        <v>30</v>
      </c>
      <c r="J8" s="24" t="s">
        <v>0</v>
      </c>
      <c r="K8" s="24" t="s">
        <v>31</v>
      </c>
      <c r="L8" s="24">
        <v>2024</v>
      </c>
      <c r="M8" s="24" t="s">
        <v>12</v>
      </c>
      <c r="N8" s="8" t="s">
        <v>32</v>
      </c>
    </row>
    <row r="9" spans="1:14" ht="409.5" x14ac:dyDescent="0.25">
      <c r="A9" s="11" t="s">
        <v>33</v>
      </c>
      <c r="B9" s="2" t="s">
        <v>34</v>
      </c>
      <c r="C9" s="10" t="str">
        <f>+UPPER("plan de mejoramiento  "&amp;PM_3[[#This Row],[ENCUENTRO]]&amp;" "&amp;PM_3[[#This Row],[AÑO]]&amp;" : "&amp;PM_3[[#This Row],[PROGRAMA]]&amp;" "&amp;PM_3[[#This Row],[UNIDAD REGIONAL]]&amp;" "&amp;PM_3[[#This Row],[FACULTAD]])</f>
        <v>PLAN DE MEJORAMIENTO  SEGUNDO ENCUENTRO 2024 : ZOOTECNIA  UBATÉ FACULTAD DE CIENCIAS AGROPECUARIAS</v>
      </c>
      <c r="D9" s="6" t="s">
        <v>64</v>
      </c>
      <c r="E9" s="57" t="s">
        <v>65</v>
      </c>
      <c r="F9" s="3" t="s">
        <v>66</v>
      </c>
      <c r="G9" s="16">
        <v>1</v>
      </c>
      <c r="H9" s="20" t="s">
        <v>67</v>
      </c>
      <c r="I9" s="24" t="s">
        <v>30</v>
      </c>
      <c r="J9" s="24" t="s">
        <v>0</v>
      </c>
      <c r="K9" s="24" t="s">
        <v>31</v>
      </c>
      <c r="L9" s="24">
        <v>2024</v>
      </c>
      <c r="M9" s="24" t="s">
        <v>12</v>
      </c>
      <c r="N9" s="8" t="s">
        <v>32</v>
      </c>
    </row>
    <row r="10" spans="1:14" ht="346.5" x14ac:dyDescent="0.25">
      <c r="A10" s="11" t="s">
        <v>33</v>
      </c>
      <c r="B10" s="2" t="s">
        <v>34</v>
      </c>
      <c r="C10" s="10" t="str">
        <f>+UPPER("plan de mejoramiento  "&amp;PM_3[[#This Row],[ENCUENTRO]]&amp;" "&amp;PM_3[[#This Row],[AÑO]]&amp;" : "&amp;PM_3[[#This Row],[PROGRAMA]]&amp;" "&amp;PM_3[[#This Row],[UNIDAD REGIONAL]]&amp;" "&amp;PM_3[[#This Row],[FACULTAD]])</f>
        <v>PLAN DE MEJORAMIENTO  PRIMER ENCUENTRO 2024 : ZOOTECNIA  UBATÉ FACULTAD DE CIENCIAS AGROPECUARIAS</v>
      </c>
      <c r="D10" s="6" t="s">
        <v>68</v>
      </c>
      <c r="E10" s="57" t="s">
        <v>27</v>
      </c>
      <c r="F10" s="4" t="s">
        <v>69</v>
      </c>
      <c r="G10" s="16">
        <v>1</v>
      </c>
      <c r="H10" s="7" t="s">
        <v>70</v>
      </c>
      <c r="I10" s="17" t="s">
        <v>30</v>
      </c>
      <c r="J10" s="17" t="s">
        <v>0</v>
      </c>
      <c r="K10" s="17" t="s">
        <v>31</v>
      </c>
      <c r="L10" s="17">
        <v>2024</v>
      </c>
      <c r="M10" s="17" t="s">
        <v>11</v>
      </c>
      <c r="N10" s="8" t="s">
        <v>32</v>
      </c>
    </row>
    <row r="11" spans="1:14" ht="214.5" x14ac:dyDescent="0.25">
      <c r="A11" s="11" t="s">
        <v>33</v>
      </c>
      <c r="B11" s="2" t="s">
        <v>34</v>
      </c>
      <c r="C11" s="10" t="str">
        <f>+UPPER("plan de mejoramiento  "&amp;PM_3[[#This Row],[ENCUENTRO]]&amp;" "&amp;PM_3[[#This Row],[AÑO]]&amp;" : "&amp;PM_3[[#This Row],[PROGRAMA]]&amp;" "&amp;PM_3[[#This Row],[UNIDAD REGIONAL]]&amp;" "&amp;PM_3[[#This Row],[FACULTAD]])</f>
        <v>PLAN DE MEJORAMIENTO  PRIMER ENCUENTRO 2024 : ZOOTECNIA  UBATÉ FACULTAD DE CIENCIAS AGROPECUARIAS</v>
      </c>
      <c r="D11" s="9" t="s">
        <v>71</v>
      </c>
      <c r="E11" s="58" t="s">
        <v>72</v>
      </c>
      <c r="F11" s="4" t="s">
        <v>73</v>
      </c>
      <c r="G11" s="25">
        <v>0</v>
      </c>
      <c r="H11" s="4" t="s">
        <v>73</v>
      </c>
      <c r="I11" s="17" t="s">
        <v>30</v>
      </c>
      <c r="J11" s="17" t="s">
        <v>0</v>
      </c>
      <c r="K11" s="17" t="s">
        <v>31</v>
      </c>
      <c r="L11" s="17">
        <v>2024</v>
      </c>
      <c r="M11" s="17" t="s">
        <v>11</v>
      </c>
      <c r="N11" s="8" t="s">
        <v>32</v>
      </c>
    </row>
    <row r="12" spans="1:14" ht="409.5" x14ac:dyDescent="0.25">
      <c r="A12" s="11" t="s">
        <v>33</v>
      </c>
      <c r="B12" s="2" t="s">
        <v>34</v>
      </c>
      <c r="C12" s="10" t="str">
        <f>+UPPER("plan de mejoramiento  "&amp;PM_3[[#This Row],[ENCUENTRO]]&amp;" "&amp;PM_3[[#This Row],[AÑO]]&amp;" : "&amp;PM_3[[#This Row],[PROGRAMA]]&amp;" "&amp;PM_3[[#This Row],[UNIDAD REGIONAL]]&amp;" "&amp;PM_3[[#This Row],[FACULTAD]])</f>
        <v>PLAN DE MEJORAMIENTO  TERCER ENCUENTRO 2024 : ZOOTECNIA   FUSAGASUGÁ FACULTAD DE CIENCIAS AGROPECUARIAS</v>
      </c>
      <c r="D12" s="6" t="s">
        <v>74</v>
      </c>
      <c r="E12" s="57" t="s">
        <v>49</v>
      </c>
      <c r="F12" s="4" t="s">
        <v>75</v>
      </c>
      <c r="G12" s="16">
        <v>1</v>
      </c>
      <c r="H12" s="7" t="s">
        <v>76</v>
      </c>
      <c r="I12" s="21" t="s">
        <v>30</v>
      </c>
      <c r="J12" s="21" t="s">
        <v>52</v>
      </c>
      <c r="K12" s="21" t="s">
        <v>31</v>
      </c>
      <c r="L12" s="21">
        <v>2024</v>
      </c>
      <c r="M12" s="21" t="s">
        <v>53</v>
      </c>
      <c r="N12" s="8" t="s">
        <v>32</v>
      </c>
    </row>
    <row r="13" spans="1:14" ht="409.5" x14ac:dyDescent="0.25">
      <c r="A13" s="11" t="s">
        <v>33</v>
      </c>
      <c r="B13" s="2" t="s">
        <v>34</v>
      </c>
      <c r="C13" s="10" t="str">
        <f>+UPPER("plan de mejoramiento  "&amp;PM_3[[#This Row],[ENCUENTRO]]&amp;" "&amp;PM_3[[#This Row],[AÑO]]&amp;" : "&amp;PM_3[[#This Row],[PROGRAMA]]&amp;" "&amp;PM_3[[#This Row],[UNIDAD REGIONAL]]&amp;" "&amp;PM_3[[#This Row],[FACULTAD]])</f>
        <v>PLAN DE MEJORAMIENTO  TERCER ENCUENTRO 2024 : ZOOTECNIA   FUSAGASUGÁ FACULTAD DE CIENCIAS AGROPECUARIAS</v>
      </c>
      <c r="D13" s="6" t="s">
        <v>77</v>
      </c>
      <c r="E13" s="57" t="s">
        <v>78</v>
      </c>
      <c r="F13" s="4" t="s">
        <v>79</v>
      </c>
      <c r="G13" s="16">
        <v>1</v>
      </c>
      <c r="H13" s="7" t="s">
        <v>80</v>
      </c>
      <c r="I13" s="21" t="s">
        <v>30</v>
      </c>
      <c r="J13" s="21" t="s">
        <v>52</v>
      </c>
      <c r="K13" s="21" t="s">
        <v>31</v>
      </c>
      <c r="L13" s="21">
        <v>2024</v>
      </c>
      <c r="M13" s="21" t="s">
        <v>53</v>
      </c>
      <c r="N13" s="8" t="s">
        <v>32</v>
      </c>
    </row>
    <row r="14" spans="1:14" ht="247.5" x14ac:dyDescent="0.25">
      <c r="A14" s="11" t="s">
        <v>33</v>
      </c>
      <c r="B14" s="2" t="s">
        <v>34</v>
      </c>
      <c r="C14" s="10" t="str">
        <f>+UPPER("plan de mejoramiento  "&amp;PM_3[[#This Row],[ENCUENTRO]]&amp;" "&amp;PM_3[[#This Row],[AÑO]]&amp;" : "&amp;PM_3[[#This Row],[PROGRAMA]]&amp;" "&amp;PM_3[[#This Row],[UNIDAD REGIONAL]]&amp;" "&amp;PM_3[[#This Row],[FACULTAD]])</f>
        <v>PLAN DE MEJORAMIENTO  PRIMER ENCUENTRO 2024 : ZOOTECNIA   FUSAGASUGÁ FACULTAD DE CIENCIAS AGROPECUARIAS</v>
      </c>
      <c r="D14" s="9" t="s">
        <v>81</v>
      </c>
      <c r="E14" s="58" t="s">
        <v>49</v>
      </c>
      <c r="F14" s="26" t="s">
        <v>82</v>
      </c>
      <c r="G14" s="25">
        <v>0</v>
      </c>
      <c r="H14" s="26" t="s">
        <v>82</v>
      </c>
      <c r="I14" s="27" t="s">
        <v>30</v>
      </c>
      <c r="J14" s="27" t="s">
        <v>52</v>
      </c>
      <c r="K14" s="27" t="s">
        <v>31</v>
      </c>
      <c r="L14" s="28">
        <v>2024</v>
      </c>
      <c r="M14" s="28" t="s">
        <v>11</v>
      </c>
      <c r="N14" s="8" t="s">
        <v>32</v>
      </c>
    </row>
    <row r="15" spans="1:14" ht="313.5" x14ac:dyDescent="0.25">
      <c r="A15" s="11" t="s">
        <v>33</v>
      </c>
      <c r="B15" s="1" t="s">
        <v>83</v>
      </c>
      <c r="C15" s="10" t="str">
        <f>+UPPER("plan de mejoramiento  "&amp;PM_3[[#This Row],[ENCUENTRO]]&amp;" "&amp;PM_3[[#This Row],[AÑO]]&amp;" : "&amp;PM_3[[#This Row],[PROGRAMA]]&amp;" "&amp;PM_3[[#This Row],[UNIDAD REGIONAL]]&amp;" "&amp;PM_3[[#This Row],[FACULTAD]])</f>
        <v>PLAN DE MEJORAMIENTO  PRIMER ENCUENTRO 2024 : ZOOTECNIA  UBATÉ FACULTAD DE CIENCIAS AGROPECUARIAS</v>
      </c>
      <c r="D15" s="3" t="s">
        <v>84</v>
      </c>
      <c r="E15" s="57" t="s">
        <v>85</v>
      </c>
      <c r="F15" s="4" t="s">
        <v>86</v>
      </c>
      <c r="G15" s="29">
        <v>1</v>
      </c>
      <c r="H15" s="7" t="s">
        <v>87</v>
      </c>
      <c r="I15" s="17" t="s">
        <v>30</v>
      </c>
      <c r="J15" s="17" t="s">
        <v>0</v>
      </c>
      <c r="K15" s="17" t="s">
        <v>31</v>
      </c>
      <c r="L15" s="30">
        <v>2024</v>
      </c>
      <c r="M15" s="30" t="s">
        <v>11</v>
      </c>
      <c r="N15" s="8" t="s">
        <v>32</v>
      </c>
    </row>
    <row r="16" spans="1:14" ht="297" x14ac:dyDescent="0.25">
      <c r="A16" s="11" t="s">
        <v>33</v>
      </c>
      <c r="B16" s="1" t="s">
        <v>83</v>
      </c>
      <c r="C16" s="10" t="str">
        <f>+UPPER("plan de mejoramiento  "&amp;PM_3[[#This Row],[ENCUENTRO]]&amp;" "&amp;PM_3[[#This Row],[AÑO]]&amp;" : "&amp;PM_3[[#This Row],[PROGRAMA]]&amp;" "&amp;PM_3[[#This Row],[UNIDAD REGIONAL]]&amp;" "&amp;PM_3[[#This Row],[FACULTAD]])</f>
        <v>PLAN DE MEJORAMIENTO  SEGUNDO ENCUENTRO 2024 : INGENIERÍA AMBIENTAL  FACATATIVÁ FACULTAD DE CIENCIAS AGROPECUARIAS</v>
      </c>
      <c r="D16" s="3" t="s">
        <v>88</v>
      </c>
      <c r="E16" s="57" t="s">
        <v>49</v>
      </c>
      <c r="F16" s="3" t="s">
        <v>89</v>
      </c>
      <c r="G16" s="31">
        <v>0</v>
      </c>
      <c r="H16" s="26" t="s">
        <v>82</v>
      </c>
      <c r="I16" s="32" t="s">
        <v>9</v>
      </c>
      <c r="J16" s="32" t="s">
        <v>47</v>
      </c>
      <c r="K16" s="32" t="s">
        <v>31</v>
      </c>
      <c r="L16" s="33">
        <v>2024</v>
      </c>
      <c r="M16" s="33" t="s">
        <v>12</v>
      </c>
      <c r="N16" s="8" t="s">
        <v>32</v>
      </c>
    </row>
    <row r="17" spans="1:14" ht="409.5" x14ac:dyDescent="0.25">
      <c r="A17" s="11" t="s">
        <v>33</v>
      </c>
      <c r="B17" s="1" t="s">
        <v>83</v>
      </c>
      <c r="C17" s="10" t="str">
        <f>+UPPER("plan de mejoramiento  "&amp;PM_3[[#This Row],[ENCUENTRO]]&amp;" "&amp;PM_3[[#This Row],[AÑO]]&amp;" : "&amp;PM_3[[#This Row],[PROGRAMA]]&amp;" "&amp;PM_3[[#This Row],[UNIDAD REGIONAL]]&amp;" "&amp;PM_3[[#This Row],[FACULTAD]])</f>
        <v>PLAN DE MEJORAMIENTO  SEGUNDO ENCUENTRO 2024 : ZOOTECNIA  UBATÉ FACULTAD DE CIENCIAS AGROPECUARIAS</v>
      </c>
      <c r="D17" s="9" t="s">
        <v>90</v>
      </c>
      <c r="E17" s="58">
        <v>45807</v>
      </c>
      <c r="F17" s="3" t="s">
        <v>91</v>
      </c>
      <c r="G17" s="29">
        <v>1</v>
      </c>
      <c r="H17" s="3" t="s">
        <v>92</v>
      </c>
      <c r="I17" s="34" t="s">
        <v>30</v>
      </c>
      <c r="J17" s="34" t="s">
        <v>0</v>
      </c>
      <c r="K17" s="34" t="s">
        <v>31</v>
      </c>
      <c r="L17" s="35">
        <v>2024</v>
      </c>
      <c r="M17" s="35" t="s">
        <v>12</v>
      </c>
      <c r="N17" s="8" t="s">
        <v>32</v>
      </c>
    </row>
    <row r="18" spans="1:14" ht="247.5" x14ac:dyDescent="0.25">
      <c r="A18" s="11" t="s">
        <v>33</v>
      </c>
      <c r="B18" s="46" t="s">
        <v>93</v>
      </c>
      <c r="C18" s="10" t="str">
        <f>+UPPER("plan de mejoramiento  "&amp;PM_3[[#This Row],[ENCUENTRO]]&amp;" "&amp;PM_3[[#This Row],[AÑO]]&amp;" : "&amp;PM_3[[#This Row],[PROGRAMA]]&amp;" "&amp;PM_3[[#This Row],[UNIDAD REGIONAL]]&amp;" "&amp;PM_3[[#This Row],[FACULTAD]])</f>
        <v>PLAN DE MEJORAMIENTO  PRIMER ENCUENTRO 2025 : ZOOTECNIA   FUSAGASUGÁ FACULTAD DE CIENCIAS AGROPECUARIAS</v>
      </c>
      <c r="D18" s="37" t="s">
        <v>94</v>
      </c>
      <c r="E18" s="57" t="s">
        <v>95</v>
      </c>
      <c r="F18" s="3" t="s">
        <v>96</v>
      </c>
      <c r="G18" s="47">
        <v>0</v>
      </c>
      <c r="H18" s="38" t="s">
        <v>97</v>
      </c>
      <c r="I18" s="39" t="s">
        <v>30</v>
      </c>
      <c r="J18" s="39" t="s">
        <v>52</v>
      </c>
      <c r="K18" s="39" t="s">
        <v>31</v>
      </c>
      <c r="L18" s="51">
        <v>2025</v>
      </c>
      <c r="M18" s="39" t="s">
        <v>11</v>
      </c>
      <c r="N18" s="8" t="s">
        <v>32</v>
      </c>
    </row>
    <row r="19" spans="1:14" ht="247.5" x14ac:dyDescent="0.25">
      <c r="A19" s="11" t="s">
        <v>33</v>
      </c>
      <c r="B19" s="36" t="s">
        <v>34</v>
      </c>
      <c r="C19" s="10" t="str">
        <f>+UPPER("plan de mejoramiento  "&amp;PM_3[[#This Row],[ENCUENTRO]]&amp;" "&amp;PM_3[[#This Row],[AÑO]]&amp;" : "&amp;PM_3[[#This Row],[PROGRAMA]]&amp;" "&amp;PM_3[[#This Row],[UNIDAD REGIONAL]]&amp;" "&amp;PM_3[[#This Row],[FACULTAD]])</f>
        <v>PLAN DE MEJORAMIENTO  PRIMER ENCUENTRO 2025 : ZOOTECNIA   FUSAGASUGÁ FACULTAD DE CIENCIAS AGROPECUARIAS</v>
      </c>
      <c r="D19" s="9" t="s">
        <v>98</v>
      </c>
      <c r="E19" s="58" t="s">
        <v>99</v>
      </c>
      <c r="F19" s="3" t="s">
        <v>100</v>
      </c>
      <c r="G19" s="48">
        <v>0.5</v>
      </c>
      <c r="H19" s="38"/>
      <c r="I19" s="39" t="s">
        <v>30</v>
      </c>
      <c r="J19" s="39" t="s">
        <v>52</v>
      </c>
      <c r="K19" s="39" t="s">
        <v>31</v>
      </c>
      <c r="L19" s="51">
        <v>2025</v>
      </c>
      <c r="M19" s="39" t="s">
        <v>11</v>
      </c>
      <c r="N19" s="8"/>
    </row>
    <row r="20" spans="1:14" ht="247.5" x14ac:dyDescent="0.25">
      <c r="A20" s="11" t="s">
        <v>33</v>
      </c>
      <c r="B20" s="36" t="s">
        <v>34</v>
      </c>
      <c r="C20" s="10" t="str">
        <f>+UPPER("plan de mejoramiento  "&amp;PM_3[[#This Row],[ENCUENTRO]]&amp;" "&amp;PM_3[[#This Row],[AÑO]]&amp;" : "&amp;PM_3[[#This Row],[PROGRAMA]]&amp;" "&amp;PM_3[[#This Row],[UNIDAD REGIONAL]]&amp;" "&amp;PM_3[[#This Row],[FACULTAD]])</f>
        <v>PLAN DE MEJORAMIENTO  PRIMER ENCUENTRO 2025 : ZOOTECNIA   FUSAGASUGÁ FACULTAD DE CIENCIAS AGROPECUARIAS</v>
      </c>
      <c r="D20" s="37" t="s">
        <v>101</v>
      </c>
      <c r="E20" s="57" t="s">
        <v>102</v>
      </c>
      <c r="F20" s="3" t="s">
        <v>103</v>
      </c>
      <c r="G20" s="31">
        <v>0</v>
      </c>
      <c r="H20" s="40" t="s">
        <v>104</v>
      </c>
      <c r="I20" s="39" t="s">
        <v>30</v>
      </c>
      <c r="J20" s="39" t="s">
        <v>52</v>
      </c>
      <c r="K20" s="39" t="s">
        <v>31</v>
      </c>
      <c r="L20" s="51">
        <v>2025</v>
      </c>
      <c r="M20" s="39" t="s">
        <v>11</v>
      </c>
      <c r="N20" s="8" t="s">
        <v>32</v>
      </c>
    </row>
    <row r="21" spans="1:14" ht="247.5" x14ac:dyDescent="0.25">
      <c r="A21" s="11" t="s">
        <v>33</v>
      </c>
      <c r="B21" s="36" t="s">
        <v>34</v>
      </c>
      <c r="C21" s="10" t="str">
        <f>+UPPER("plan de mejoramiento  "&amp;PM_3[[#This Row],[ENCUENTRO]]&amp;" "&amp;PM_3[[#This Row],[AÑO]]&amp;" : "&amp;PM_3[[#This Row],[PROGRAMA]]&amp;" "&amp;PM_3[[#This Row],[UNIDAD REGIONAL]]&amp;" "&amp;PM_3[[#This Row],[FACULTAD]])</f>
        <v>PLAN DE MEJORAMIENTO  PRIMER ENCUENTRO 2025 : ZOOTECNIA   FUSAGASUGÁ FACULTAD DE CIENCIAS AGROPECUARIAS</v>
      </c>
      <c r="D21" s="37" t="s">
        <v>105</v>
      </c>
      <c r="E21" s="57" t="s">
        <v>95</v>
      </c>
      <c r="F21" s="3" t="s">
        <v>106</v>
      </c>
      <c r="G21" s="31">
        <v>0</v>
      </c>
      <c r="H21" s="40" t="s">
        <v>82</v>
      </c>
      <c r="I21" s="39" t="s">
        <v>30</v>
      </c>
      <c r="J21" s="39" t="s">
        <v>52</v>
      </c>
      <c r="K21" s="39" t="s">
        <v>31</v>
      </c>
      <c r="L21" s="51">
        <v>2025</v>
      </c>
      <c r="M21" s="39" t="s">
        <v>11</v>
      </c>
      <c r="N21" s="8" t="s">
        <v>32</v>
      </c>
    </row>
    <row r="22" spans="1:14" ht="390" x14ac:dyDescent="0.25">
      <c r="A22" s="11" t="s">
        <v>33</v>
      </c>
      <c r="B22" s="36" t="s">
        <v>34</v>
      </c>
      <c r="C22" s="10" t="str">
        <f>+UPPER("plan de mejoramiento  "&amp;PM_3[[#This Row],[ENCUENTRO]]&amp;" "&amp;PM_3[[#This Row],[AÑO]]&amp;" : "&amp;PM_3[[#This Row],[PROGRAMA]]&amp;" "&amp;PM_3[[#This Row],[UNIDAD REGIONAL]]&amp;" "&amp;PM_3[[#This Row],[FACULTAD]])</f>
        <v>PLAN DE MEJORAMIENTO  PRIMER ENCUENTRO 2025 : ADMINISTRACIÓN DE EMPRESAS  GIRARDOT FACULTAD DE CIENCIAS ADMINISTRATIVAS ECONOMICAS Y CONTABLES</v>
      </c>
      <c r="D22" s="37" t="s">
        <v>107</v>
      </c>
      <c r="E22" s="57" t="s">
        <v>193</v>
      </c>
      <c r="F22" s="3" t="s">
        <v>108</v>
      </c>
      <c r="G22" s="16">
        <v>1</v>
      </c>
      <c r="H22" s="38" t="s">
        <v>109</v>
      </c>
      <c r="I22" s="41" t="s">
        <v>58</v>
      </c>
      <c r="J22" s="41" t="s">
        <v>110</v>
      </c>
      <c r="K22" s="41" t="s">
        <v>59</v>
      </c>
      <c r="L22" s="52">
        <v>2025</v>
      </c>
      <c r="M22" s="41" t="s">
        <v>11</v>
      </c>
      <c r="N22" s="8" t="s">
        <v>32</v>
      </c>
    </row>
    <row r="23" spans="1:14" ht="363" x14ac:dyDescent="0.25">
      <c r="A23" s="11" t="s">
        <v>33</v>
      </c>
      <c r="B23" s="36" t="s">
        <v>34</v>
      </c>
      <c r="C23" s="10" t="str">
        <f>+UPPER("plan de mejoramiento  "&amp;PM_3[[#This Row],[ENCUENTRO]]&amp;" "&amp;PM_3[[#This Row],[AÑO]]&amp;" : "&amp;PM_3[[#This Row],[PROGRAMA]]&amp;" "&amp;PM_3[[#This Row],[UNIDAD REGIONAL]]&amp;" "&amp;PM_3[[#This Row],[FACULTAD]])</f>
        <v>PLAN DE MEJORAMIENTO  PRIMER ENCUENTRO 2025 : ADMINISTRACIÓN DE EMPRESAS  GIRARDOT FACULTAD DE CIENCIAS ADMINISTRATIVAS ECONOMICAS Y CONTABLES</v>
      </c>
      <c r="D23" s="37" t="s">
        <v>111</v>
      </c>
      <c r="E23" s="57" t="s">
        <v>193</v>
      </c>
      <c r="F23" s="3" t="s">
        <v>108</v>
      </c>
      <c r="G23" s="16">
        <v>1</v>
      </c>
      <c r="H23" s="38" t="s">
        <v>112</v>
      </c>
      <c r="I23" s="41" t="s">
        <v>58</v>
      </c>
      <c r="J23" s="41" t="s">
        <v>110</v>
      </c>
      <c r="K23" s="41" t="s">
        <v>59</v>
      </c>
      <c r="L23" s="52">
        <v>2025</v>
      </c>
      <c r="M23" s="41" t="s">
        <v>11</v>
      </c>
      <c r="N23" s="8" t="s">
        <v>32</v>
      </c>
    </row>
    <row r="24" spans="1:14" ht="280.5" x14ac:dyDescent="0.25">
      <c r="A24" s="11" t="s">
        <v>33</v>
      </c>
      <c r="B24" s="36" t="s">
        <v>34</v>
      </c>
      <c r="C24" s="10" t="str">
        <f>+UPPER("plan de mejoramiento  "&amp;PM_3[[#This Row],[ENCUENTRO]]&amp;" "&amp;PM_3[[#This Row],[AÑO]]&amp;" : "&amp;PM_3[[#This Row],[PROGRAMA]]&amp;" "&amp;PM_3[[#This Row],[UNIDAD REGIONAL]]&amp;" "&amp;PM_3[[#This Row],[FACULTAD]])</f>
        <v>PLAN DE MEJORAMIENTO  PRIMER ENCUENTRO 2025 : ESPECIALIZACIÓN EN TRANSFORMACIÓN DIGITAL VIRTUAL INSTITUTO DE POSGRADOS</v>
      </c>
      <c r="D24" s="9" t="s">
        <v>113</v>
      </c>
      <c r="E24" s="57" t="s">
        <v>114</v>
      </c>
      <c r="F24" s="3" t="s">
        <v>115</v>
      </c>
      <c r="G24" s="59">
        <v>1</v>
      </c>
      <c r="H24" s="40" t="s">
        <v>104</v>
      </c>
      <c r="I24" s="42" t="s">
        <v>116</v>
      </c>
      <c r="J24" s="42" t="s">
        <v>2</v>
      </c>
      <c r="K24" s="42" t="s">
        <v>10</v>
      </c>
      <c r="L24" s="53">
        <v>2025</v>
      </c>
      <c r="M24" s="42" t="s">
        <v>11</v>
      </c>
      <c r="N24" s="8"/>
    </row>
    <row r="25" spans="1:14" ht="409.5" x14ac:dyDescent="0.25">
      <c r="A25" s="11" t="s">
        <v>33</v>
      </c>
      <c r="B25" s="36" t="s">
        <v>34</v>
      </c>
      <c r="C25" s="10" t="str">
        <f>+UPPER("plan de mejoramiento  "&amp;PM_3[[#This Row],[ENCUENTRO]]&amp;" "&amp;PM_3[[#This Row],[AÑO]]&amp;" : "&amp;PM_3[[#This Row],[PROGRAMA]]&amp;" "&amp;PM_3[[#This Row],[UNIDAD REGIONAL]]&amp;" "&amp;PM_3[[#This Row],[FACULTAD]])</f>
        <v>PLAN DE MEJORAMIENTO  PRIMER ENCUENTRO 2025 : ESPECIALIZACIÓN EN TRANSFORMACIÓN DIGITAL VIRTUAL INSTITUTO DE POSGRADOS</v>
      </c>
      <c r="D25" s="37" t="s">
        <v>117</v>
      </c>
      <c r="E25" s="57" t="s">
        <v>114</v>
      </c>
      <c r="F25" s="4" t="s">
        <v>118</v>
      </c>
      <c r="G25" s="59">
        <v>1</v>
      </c>
      <c r="H25" s="38" t="s">
        <v>119</v>
      </c>
      <c r="I25" s="42" t="s">
        <v>116</v>
      </c>
      <c r="J25" s="42" t="s">
        <v>2</v>
      </c>
      <c r="K25" s="42" t="s">
        <v>10</v>
      </c>
      <c r="L25" s="53">
        <v>2025</v>
      </c>
      <c r="M25" s="42" t="s">
        <v>11</v>
      </c>
      <c r="N25" s="8" t="s">
        <v>32</v>
      </c>
    </row>
    <row r="26" spans="1:14" ht="300" x14ac:dyDescent="0.25">
      <c r="A26" s="11" t="s">
        <v>33</v>
      </c>
      <c r="B26" s="36" t="s">
        <v>34</v>
      </c>
      <c r="C26" s="10" t="str">
        <f>+UPPER("plan de mejoramiento  "&amp;PM_3[[#This Row],[ENCUENTRO]]&amp;" "&amp;PM_3[[#This Row],[AÑO]]&amp;" : "&amp;PM_3[[#This Row],[PROGRAMA]]&amp;" "&amp;PM_3[[#This Row],[UNIDAD REGIONAL]]&amp;" "&amp;PM_3[[#This Row],[FACULTAD]])</f>
        <v>PLAN DE MEJORAMIENTO  PRIMER ENCUENTRO 2025 : ESPECIALIZACIÓN EN TRANSFORMACIÓN DIGITAL VIRTUAL INSTITUTO DE POSGRADOS</v>
      </c>
      <c r="D26" s="37" t="s">
        <v>120</v>
      </c>
      <c r="E26" s="57" t="s">
        <v>114</v>
      </c>
      <c r="F26" s="4" t="s">
        <v>121</v>
      </c>
      <c r="G26" s="59">
        <v>1</v>
      </c>
      <c r="H26" s="38" t="s">
        <v>122</v>
      </c>
      <c r="I26" s="42" t="s">
        <v>116</v>
      </c>
      <c r="J26" s="42" t="s">
        <v>2</v>
      </c>
      <c r="K26" s="42" t="s">
        <v>10</v>
      </c>
      <c r="L26" s="53">
        <v>2025</v>
      </c>
      <c r="M26" s="42" t="s">
        <v>11</v>
      </c>
      <c r="N26" s="8" t="s">
        <v>32</v>
      </c>
    </row>
    <row r="27" spans="1:14" ht="280.5" x14ac:dyDescent="0.25">
      <c r="A27" s="11" t="s">
        <v>33</v>
      </c>
      <c r="B27" s="36" t="s">
        <v>34</v>
      </c>
      <c r="C27" s="10" t="str">
        <f>+UPPER("plan de mejoramiento  "&amp;PM_3[[#This Row],[ENCUENTRO]]&amp;" "&amp;PM_3[[#This Row],[AÑO]]&amp;" : "&amp;PM_3[[#This Row],[PROGRAMA]]&amp;" "&amp;PM_3[[#This Row],[UNIDAD REGIONAL]]&amp;" "&amp;PM_3[[#This Row],[FACULTAD]])</f>
        <v>PLAN DE MEJORAMIENTO  PRIMER ENCUENTRO 2025 : ESPECIALIZACIÓN EN TRANSFORMACIÓN DIGITAL VIRTUAL INSTITUTO DE POSGRADOS</v>
      </c>
      <c r="D27" s="10" t="s">
        <v>123</v>
      </c>
      <c r="E27" s="57" t="s">
        <v>114</v>
      </c>
      <c r="F27" s="4" t="s">
        <v>124</v>
      </c>
      <c r="G27" s="59">
        <v>1</v>
      </c>
      <c r="H27" s="50" t="s">
        <v>125</v>
      </c>
      <c r="I27" s="42" t="s">
        <v>116</v>
      </c>
      <c r="J27" s="42" t="s">
        <v>2</v>
      </c>
      <c r="K27" s="42" t="s">
        <v>10</v>
      </c>
      <c r="L27" s="53">
        <v>2025</v>
      </c>
      <c r="M27" s="42" t="s">
        <v>11</v>
      </c>
      <c r="N27" s="8" t="s">
        <v>32</v>
      </c>
    </row>
    <row r="28" spans="1:14" ht="346.5" x14ac:dyDescent="0.25">
      <c r="A28" s="11" t="s">
        <v>33</v>
      </c>
      <c r="B28" s="36" t="s">
        <v>34</v>
      </c>
      <c r="C28" s="10" t="str">
        <f>+UPPER("plan de mejoramiento  "&amp;PM_3[[#This Row],[ENCUENTRO]]&amp;" "&amp;PM_3[[#This Row],[AÑO]]&amp;" : "&amp;PM_3[[#This Row],[PROGRAMA]]&amp;" "&amp;PM_3[[#This Row],[UNIDAD REGIONAL]]&amp;" "&amp;PM_3[[#This Row],[FACULTAD]])</f>
        <v xml:space="preserve">PLAN DE MEJORAMIENTO  SEGUNDO ENCUENTRO 2025 : ADMINISTRACIÓN DE EMPRESAS  GIRARDOT CIENCIAS ADMINISTRATIVAS, ECONÓMICAS Y CONTABLES </v>
      </c>
      <c r="D28" s="10" t="s">
        <v>126</v>
      </c>
      <c r="E28" s="57" t="s">
        <v>127</v>
      </c>
      <c r="F28" s="4" t="s">
        <v>128</v>
      </c>
      <c r="G28" s="49">
        <v>0.5</v>
      </c>
      <c r="H28" s="43"/>
      <c r="I28" s="21" t="s">
        <v>3</v>
      </c>
      <c r="J28" s="21" t="s">
        <v>110</v>
      </c>
      <c r="K28" s="21" t="s">
        <v>129</v>
      </c>
      <c r="L28" s="54">
        <v>2025</v>
      </c>
      <c r="M28" s="21" t="s">
        <v>12</v>
      </c>
      <c r="N28" s="8" t="s">
        <v>32</v>
      </c>
    </row>
    <row r="29" spans="1:14" ht="346.5" x14ac:dyDescent="0.25">
      <c r="A29" s="11" t="s">
        <v>33</v>
      </c>
      <c r="B29" s="36" t="s">
        <v>34</v>
      </c>
      <c r="C29" s="10" t="str">
        <f>+UPPER("plan de mejoramiento  "&amp;PM_3[[#This Row],[ENCUENTRO]]&amp;" "&amp;PM_3[[#This Row],[AÑO]]&amp;" : "&amp;PM_3[[#This Row],[PROGRAMA]]&amp;" "&amp;PM_3[[#This Row],[UNIDAD REGIONAL]]&amp;" "&amp;PM_3[[#This Row],[FACULTAD]])</f>
        <v xml:space="preserve">PLAN DE MEJORAMIENTO  SEGUNDO ENCUENTRO 2025 : ADMINISTRACIÓN DE EMPRESAS UBATÉ CIENCIAS ADMINISTRATIVAS, ECONÓMICAS Y CONTABLES </v>
      </c>
      <c r="D29" s="10" t="s">
        <v>130</v>
      </c>
      <c r="E29" s="57" t="s">
        <v>194</v>
      </c>
      <c r="F29" s="4" t="s">
        <v>131</v>
      </c>
      <c r="G29" s="59">
        <v>1</v>
      </c>
      <c r="H29" s="43"/>
      <c r="I29" s="44" t="s">
        <v>3</v>
      </c>
      <c r="J29" s="44" t="s">
        <v>0</v>
      </c>
      <c r="K29" s="44" t="s">
        <v>129</v>
      </c>
      <c r="L29" s="55">
        <v>2025</v>
      </c>
      <c r="M29" s="44" t="s">
        <v>12</v>
      </c>
      <c r="N29" s="8" t="s">
        <v>32</v>
      </c>
    </row>
    <row r="30" spans="1:14" ht="313.5" x14ac:dyDescent="0.25">
      <c r="A30" s="11" t="s">
        <v>33</v>
      </c>
      <c r="B30" s="36" t="s">
        <v>34</v>
      </c>
      <c r="C30" s="10" t="str">
        <f>+UPPER("plan de mejoramiento  "&amp;PM_3[[#This Row],[ENCUENTRO]]&amp;" "&amp;PM_3[[#This Row],[AÑO]]&amp;" : "&amp;PM_3[[#This Row],[PROGRAMA]]&amp;" "&amp;PM_3[[#This Row],[UNIDAD REGIONAL]]&amp;" "&amp;PM_3[[#This Row],[FACULTAD]])</f>
        <v xml:space="preserve">PLAN DE MEJORAMIENTO  SEGUNDO ENCUENTRO 2025 : ADMINISTRACIÓN DE EMPRESAS UBATÉ CIENCIAS ADMINISTRATIVAS, ECONÓMICAS Y CONTABLES </v>
      </c>
      <c r="D30" s="10" t="s">
        <v>132</v>
      </c>
      <c r="E30" s="57" t="s">
        <v>133</v>
      </c>
      <c r="F30" s="4" t="s">
        <v>134</v>
      </c>
      <c r="G30" s="16">
        <v>1</v>
      </c>
      <c r="H30" s="43"/>
      <c r="I30" s="44" t="s">
        <v>3</v>
      </c>
      <c r="J30" s="44" t="s">
        <v>0</v>
      </c>
      <c r="K30" s="44" t="s">
        <v>129</v>
      </c>
      <c r="L30" s="55">
        <v>2025</v>
      </c>
      <c r="M30" s="44" t="s">
        <v>12</v>
      </c>
      <c r="N30" s="8" t="s">
        <v>32</v>
      </c>
    </row>
    <row r="31" spans="1:14" ht="313.5" x14ac:dyDescent="0.25">
      <c r="A31" s="11" t="s">
        <v>33</v>
      </c>
      <c r="B31" s="36" t="s">
        <v>34</v>
      </c>
      <c r="C31" s="10" t="str">
        <f>+UPPER("plan de mejoramiento  "&amp;PM_3[[#This Row],[ENCUENTRO]]&amp;" "&amp;PM_3[[#This Row],[AÑO]]&amp;" : "&amp;PM_3[[#This Row],[PROGRAMA]]&amp;" "&amp;PM_3[[#This Row],[UNIDAD REGIONAL]]&amp;" "&amp;PM_3[[#This Row],[FACULTAD]])</f>
        <v xml:space="preserve">PLAN DE MEJORAMIENTO  SEGUNDO ENCUENTRO 2025 : ADMINISTRACIÓN DE EMPRESAS UBATÉ CIENCIAS ADMINISTRATIVAS, ECONÓMICAS Y CONTABLES </v>
      </c>
      <c r="D31" s="10" t="s">
        <v>135</v>
      </c>
      <c r="E31" s="57" t="s">
        <v>133</v>
      </c>
      <c r="F31" s="4" t="s">
        <v>136</v>
      </c>
      <c r="G31" s="16">
        <v>1</v>
      </c>
      <c r="H31" s="43"/>
      <c r="I31" s="44" t="s">
        <v>3</v>
      </c>
      <c r="J31" s="44" t="s">
        <v>0</v>
      </c>
      <c r="K31" s="44" t="s">
        <v>129</v>
      </c>
      <c r="L31" s="55">
        <v>2025</v>
      </c>
      <c r="M31" s="44" t="s">
        <v>12</v>
      </c>
      <c r="N31" s="8" t="s">
        <v>32</v>
      </c>
    </row>
    <row r="32" spans="1:14" ht="313.5" x14ac:dyDescent="0.25">
      <c r="A32" s="11" t="s">
        <v>33</v>
      </c>
      <c r="B32" s="36" t="s">
        <v>34</v>
      </c>
      <c r="C32" s="10" t="str">
        <f>+UPPER("plan de mejoramiento  "&amp;PM_3[[#This Row],[ENCUENTRO]]&amp;" "&amp;PM_3[[#This Row],[AÑO]]&amp;" : "&amp;PM_3[[#This Row],[PROGRAMA]]&amp;" "&amp;PM_3[[#This Row],[UNIDAD REGIONAL]]&amp;" "&amp;PM_3[[#This Row],[FACULTAD]])</f>
        <v xml:space="preserve">PLAN DE MEJORAMIENTO  SEGUNDO ENCUENTRO 2025 : ADMINISTRACIÓN DE EMPRESAS UBATÉ CIENCIAS ADMINISTRATIVAS, ECONÓMICAS Y CONTABLES </v>
      </c>
      <c r="D32" s="10" t="s">
        <v>137</v>
      </c>
      <c r="E32" s="57" t="s">
        <v>148</v>
      </c>
      <c r="F32" s="4" t="s">
        <v>138</v>
      </c>
      <c r="G32" s="16">
        <v>1</v>
      </c>
      <c r="H32" s="43"/>
      <c r="I32" s="44" t="s">
        <v>3</v>
      </c>
      <c r="J32" s="44" t="s">
        <v>0</v>
      </c>
      <c r="K32" s="44" t="s">
        <v>129</v>
      </c>
      <c r="L32" s="55">
        <v>2025</v>
      </c>
      <c r="M32" s="44" t="s">
        <v>12</v>
      </c>
      <c r="N32" s="8" t="s">
        <v>32</v>
      </c>
    </row>
    <row r="33" spans="1:14" ht="313.5" x14ac:dyDescent="0.25">
      <c r="A33" s="11" t="s">
        <v>33</v>
      </c>
      <c r="B33" s="36" t="s">
        <v>34</v>
      </c>
      <c r="C33" s="10" t="str">
        <f>+UPPER("plan de mejoramiento  "&amp;PM_3[[#This Row],[ENCUENTRO]]&amp;" "&amp;PM_3[[#This Row],[AÑO]]&amp;" : "&amp;PM_3[[#This Row],[PROGRAMA]]&amp;" "&amp;PM_3[[#This Row],[UNIDAD REGIONAL]]&amp;" "&amp;PM_3[[#This Row],[FACULTAD]])</f>
        <v xml:space="preserve">PLAN DE MEJORAMIENTO  SEGUNDO ENCUENTRO 2025 : ADMINISTRACIÓN DE EMPRESAS UBATÉ CIENCIAS ADMINISTRATIVAS, ECONÓMICAS Y CONTABLES </v>
      </c>
      <c r="D33" s="10" t="s">
        <v>139</v>
      </c>
      <c r="E33" s="57" t="s">
        <v>175</v>
      </c>
      <c r="F33" s="4" t="s">
        <v>140</v>
      </c>
      <c r="G33" s="49">
        <v>0.5</v>
      </c>
      <c r="H33" s="43"/>
      <c r="I33" s="44" t="s">
        <v>3</v>
      </c>
      <c r="J33" s="44" t="s">
        <v>0</v>
      </c>
      <c r="K33" s="44" t="s">
        <v>129</v>
      </c>
      <c r="L33" s="55">
        <v>2025</v>
      </c>
      <c r="M33" s="44" t="s">
        <v>12</v>
      </c>
      <c r="N33" s="8" t="s">
        <v>32</v>
      </c>
    </row>
    <row r="34" spans="1:14" ht="247.5" x14ac:dyDescent="0.25">
      <c r="A34" s="11" t="s">
        <v>33</v>
      </c>
      <c r="B34" s="36" t="s">
        <v>34</v>
      </c>
      <c r="C34" s="10" t="str">
        <f>+UPPER("plan de mejoramiento  "&amp;PM_3[[#This Row],[ENCUENTRO]]&amp;" "&amp;PM_3[[#This Row],[AÑO]]&amp;" : "&amp;PM_3[[#This Row],[PROGRAMA]]&amp;" "&amp;PM_3[[#This Row],[UNIDAD REGIONAL]]&amp;" "&amp;PM_3[[#This Row],[FACULTAD]])</f>
        <v xml:space="preserve">PLAN DE MEJORAMIENTO  SEGUNDO ENCUENTRO 2025 : INGENIERÍA ELECTRÓNICA   FUSAGASUGÁ INGENIERÍA </v>
      </c>
      <c r="D34" s="10" t="s">
        <v>141</v>
      </c>
      <c r="E34" s="57" t="s">
        <v>142</v>
      </c>
      <c r="F34" s="4" t="s">
        <v>143</v>
      </c>
      <c r="G34" s="16">
        <v>1</v>
      </c>
      <c r="H34" s="43"/>
      <c r="I34" s="17" t="s">
        <v>144</v>
      </c>
      <c r="J34" s="17" t="s">
        <v>52</v>
      </c>
      <c r="K34" s="17" t="s">
        <v>145</v>
      </c>
      <c r="L34" s="56">
        <v>2025</v>
      </c>
      <c r="M34" s="17" t="s">
        <v>12</v>
      </c>
      <c r="N34" s="8" t="s">
        <v>32</v>
      </c>
    </row>
    <row r="35" spans="1:14" ht="297" x14ac:dyDescent="0.25">
      <c r="A35" s="11" t="s">
        <v>33</v>
      </c>
      <c r="B35" s="36" t="s">
        <v>34</v>
      </c>
      <c r="C35" s="10" t="str">
        <f>+UPPER("plan de mejoramiento  "&amp;PM_3[[#This Row],[ENCUENTRO]]&amp;" "&amp;PM_3[[#This Row],[AÑO]]&amp;" : "&amp;PM_3[[#This Row],[PROGRAMA]]&amp;" "&amp;PM_3[[#This Row],[UNIDAD REGIONAL]]&amp;" "&amp;PM_3[[#This Row],[FACULTAD]])</f>
        <v>PLAN DE MEJORAMIENTO  TERCER ENCUENTRO 2025 : INGENIERIA DE SISTEMAS Y COMPUTACIÓN UBATÉ INGENIERIA</v>
      </c>
      <c r="D35" s="9" t="s">
        <v>151</v>
      </c>
      <c r="E35" s="60" t="s">
        <v>152</v>
      </c>
      <c r="F35" s="4" t="s">
        <v>153</v>
      </c>
      <c r="G35" s="16">
        <v>1</v>
      </c>
      <c r="H35" s="43"/>
      <c r="I35" s="44" t="s">
        <v>149</v>
      </c>
      <c r="J35" s="44" t="s">
        <v>0</v>
      </c>
      <c r="K35" s="44" t="s">
        <v>150</v>
      </c>
      <c r="L35" s="55">
        <v>2025</v>
      </c>
      <c r="M35" s="44" t="s">
        <v>53</v>
      </c>
      <c r="N35" s="8" t="s">
        <v>32</v>
      </c>
    </row>
    <row r="36" spans="1:14" ht="330" x14ac:dyDescent="0.25">
      <c r="A36" s="36" t="s">
        <v>33</v>
      </c>
      <c r="B36" s="36" t="s">
        <v>34</v>
      </c>
      <c r="C36" s="66" t="str">
        <f>+UPPER("plan de mejoramiento  "&amp;PM_3[[#This Row],[ENCUENTRO]]&amp;" "&amp;PM_3[[#This Row],[AÑO]]&amp;" : "&amp;PM_3[[#This Row],[PROGRAMA]]&amp;" "&amp;PM_3[[#This Row],[UNIDAD REGIONAL]]&amp;" "&amp;PM_3[[#This Row],[FACULTAD]])</f>
        <v xml:space="preserve">PLAN DE MEJORAMIENTO  TERCER ENCUENTRO 2025 : ADMINISTRACIÓN DE EMPRESAS GIRARDOT CIENCIAS ADMINISTRATIVAS, ECONÓMICAS Y CONTABLES </v>
      </c>
      <c r="D36" s="66" t="s">
        <v>154</v>
      </c>
      <c r="E36" s="46" t="s">
        <v>99</v>
      </c>
      <c r="F36" s="67" t="s">
        <v>155</v>
      </c>
      <c r="G36" s="49">
        <v>0.5</v>
      </c>
      <c r="H36" s="43"/>
      <c r="I36" s="44" t="s">
        <v>58</v>
      </c>
      <c r="J36" s="44" t="s">
        <v>4</v>
      </c>
      <c r="K36" s="44" t="s">
        <v>129</v>
      </c>
      <c r="L36" s="55">
        <v>2025</v>
      </c>
      <c r="M36" s="44" t="s">
        <v>53</v>
      </c>
      <c r="N36" s="8" t="s">
        <v>32</v>
      </c>
    </row>
    <row r="37" spans="1:14" ht="231" x14ac:dyDescent="0.25">
      <c r="A37" s="68" t="s">
        <v>33</v>
      </c>
      <c r="B37" s="69" t="s">
        <v>34</v>
      </c>
      <c r="C37" s="9" t="str">
        <f>+UPPER("plan de mejoramiento  "&amp;PM_3[[#This Row],[ENCUENTRO]]&amp;" "&amp;PM_3[[#This Row],[AÑO]]&amp;" : "&amp;PM_3[[#This Row],[PROGRAMA]]&amp;" "&amp;PM_3[[#This Row],[UNIDAD REGIONAL]]&amp;" "&amp;PM_3[[#This Row],[FACULTAD]])</f>
        <v>PLAN DE MEJORAMIENTO  TERCER ENCUENTRO 2025 : ZOOTECNIA  FUSAGASUGÁ CIENCIAS AGROPECUARIAS</v>
      </c>
      <c r="D37" s="9" t="s">
        <v>156</v>
      </c>
      <c r="E37" s="60" t="s">
        <v>157</v>
      </c>
      <c r="F37" s="8" t="s">
        <v>196</v>
      </c>
      <c r="G37" s="49">
        <v>0.5</v>
      </c>
      <c r="H37" s="43"/>
      <c r="I37" s="44" t="s">
        <v>30</v>
      </c>
      <c r="J37" s="44" t="s">
        <v>1</v>
      </c>
      <c r="K37" s="44" t="s">
        <v>8</v>
      </c>
      <c r="L37" s="55">
        <v>2025</v>
      </c>
      <c r="M37" s="44" t="s">
        <v>53</v>
      </c>
      <c r="N37" s="8" t="s">
        <v>32</v>
      </c>
    </row>
    <row r="38" spans="1:14" ht="231" x14ac:dyDescent="0.25">
      <c r="A38" s="68" t="s">
        <v>33</v>
      </c>
      <c r="B38" s="69" t="s">
        <v>34</v>
      </c>
      <c r="C38" s="9" t="str">
        <f>+UPPER("plan de mejoramiento  "&amp;PM_3[[#This Row],[ENCUENTRO]]&amp;" "&amp;PM_3[[#This Row],[AÑO]]&amp;" : "&amp;PM_3[[#This Row],[PROGRAMA]]&amp;" "&amp;PM_3[[#This Row],[UNIDAD REGIONAL]]&amp;" "&amp;PM_3[[#This Row],[FACULTAD]])</f>
        <v>PLAN DE MEJORAMIENTO  TERCER ENCUENTRO 2025 : ZOOTECNIA  FUSAGASUGÁ CIENCIAS AGROPECUARIAS</v>
      </c>
      <c r="D38" s="9" t="s">
        <v>195</v>
      </c>
      <c r="E38" s="60" t="s">
        <v>157</v>
      </c>
      <c r="F38" s="8" t="s">
        <v>196</v>
      </c>
      <c r="G38" s="49">
        <v>0.5</v>
      </c>
      <c r="H38" s="43"/>
      <c r="I38" s="44" t="s">
        <v>30</v>
      </c>
      <c r="J38" s="44" t="s">
        <v>1</v>
      </c>
      <c r="K38" s="44" t="s">
        <v>8</v>
      </c>
      <c r="L38" s="55">
        <v>2025</v>
      </c>
      <c r="M38" s="44" t="s">
        <v>53</v>
      </c>
      <c r="N38" s="8" t="s">
        <v>32</v>
      </c>
    </row>
    <row r="39" spans="1:14" ht="181.5" x14ac:dyDescent="0.25">
      <c r="A39" s="61" t="s">
        <v>33</v>
      </c>
      <c r="B39" s="62" t="s">
        <v>34</v>
      </c>
      <c r="C39" s="63" t="str">
        <f>+UPPER("plan de mejoramiento  "&amp;PM_3[[#This Row],[ENCUENTRO]]&amp;" "&amp;PM_3[[#This Row],[AÑO]]&amp;" : "&amp;PM_3[[#This Row],[PROGRAMA]]&amp;" "&amp;PM_3[[#This Row],[UNIDAD REGIONAL]]&amp;" "&amp;PM_3[[#This Row],[FACULTAD]])</f>
        <v>PLAN DE MEJORAMIENTO  TERCER ENCUENTRO 2025 : ZOOTECNIA  UBATÉ CIENCIAS AGROPECUARIAS</v>
      </c>
      <c r="D39" s="63" t="s">
        <v>158</v>
      </c>
      <c r="E39" s="64" t="s">
        <v>159</v>
      </c>
      <c r="F39" s="65" t="s">
        <v>160</v>
      </c>
      <c r="G39" s="49">
        <v>0.5</v>
      </c>
      <c r="H39" s="43"/>
      <c r="I39" s="44" t="s">
        <v>30</v>
      </c>
      <c r="J39" s="44" t="s">
        <v>0</v>
      </c>
      <c r="K39" s="44" t="s">
        <v>8</v>
      </c>
      <c r="L39" s="55">
        <v>2025</v>
      </c>
      <c r="M39" s="44" t="s">
        <v>53</v>
      </c>
      <c r="N39" s="8" t="s">
        <v>146</v>
      </c>
    </row>
    <row r="40" spans="1:14" ht="247.5" x14ac:dyDescent="0.25">
      <c r="A40" s="61" t="s">
        <v>33</v>
      </c>
      <c r="B40" s="62" t="s">
        <v>34</v>
      </c>
      <c r="C40" s="63" t="str">
        <f>+UPPER("plan de mejoramiento  "&amp;PM_3[[#This Row],[ENCUENTRO]]&amp;" "&amp;PM_3[[#This Row],[AÑO]]&amp;" : "&amp;PM_3[[#This Row],[PROGRAMA]]&amp;" "&amp;PM_3[[#This Row],[UNIDAD REGIONAL]]&amp;" "&amp;PM_3[[#This Row],[FACULTAD]])</f>
        <v>PLAN DE MEJORAMIENTO  TERCER ENCUENTRO 2025 : MEDICINA VETERINARIA Y ZOOTECNIA  UBATÉ CIENCIAS AGROPECUARIAS</v>
      </c>
      <c r="D40" s="63" t="s">
        <v>161</v>
      </c>
      <c r="E40" s="64" t="s">
        <v>162</v>
      </c>
      <c r="F40" s="65" t="s">
        <v>163</v>
      </c>
      <c r="G40" s="49">
        <v>0.5</v>
      </c>
      <c r="H40" s="43"/>
      <c r="I40" s="44" t="s">
        <v>164</v>
      </c>
      <c r="J40" s="44" t="s">
        <v>0</v>
      </c>
      <c r="K40" s="44" t="s">
        <v>8</v>
      </c>
      <c r="L40" s="55">
        <v>2025</v>
      </c>
      <c r="M40" s="44" t="s">
        <v>53</v>
      </c>
      <c r="N40" s="8" t="s">
        <v>146</v>
      </c>
    </row>
    <row r="41" spans="1:14" ht="330" x14ac:dyDescent="0.25">
      <c r="A41" s="68" t="s">
        <v>33</v>
      </c>
      <c r="B41" s="69" t="s">
        <v>34</v>
      </c>
      <c r="C41" s="9" t="str">
        <f>+UPPER("plan de mejoramiento  "&amp;PM_3[[#This Row],[ENCUENTRO]]&amp;" "&amp;PM_3[[#This Row],[AÑO]]&amp;" : "&amp;PM_3[[#This Row],[PROGRAMA]]&amp;" "&amp;PM_3[[#This Row],[UNIDAD REGIONAL]]&amp;" "&amp;PM_3[[#This Row],[FACULTAD]])</f>
        <v>PLAN DE MEJORAMIENTO  TERCER ENCUENTRO 2025 : TOPOGRAFIA Y GEOMÁTICA SOACHA  CIENCIAS AGROPECUARIAS</v>
      </c>
      <c r="D41" s="9" t="s">
        <v>165</v>
      </c>
      <c r="E41" s="60" t="s">
        <v>166</v>
      </c>
      <c r="F41" s="8" t="s">
        <v>167</v>
      </c>
      <c r="G41" s="49">
        <v>0.5</v>
      </c>
      <c r="H41" s="43"/>
      <c r="I41" s="44" t="s">
        <v>168</v>
      </c>
      <c r="J41" s="44" t="s">
        <v>169</v>
      </c>
      <c r="K41" s="44" t="s">
        <v>8</v>
      </c>
      <c r="L41" s="55">
        <v>2025</v>
      </c>
      <c r="M41" s="44" t="s">
        <v>53</v>
      </c>
      <c r="N41" s="8" t="s">
        <v>146</v>
      </c>
    </row>
    <row r="42" spans="1:14" ht="313.5" x14ac:dyDescent="0.25">
      <c r="A42" s="61" t="s">
        <v>33</v>
      </c>
      <c r="B42" s="62" t="s">
        <v>34</v>
      </c>
      <c r="C42" s="63" t="str">
        <f>+UPPER("plan de mejoramiento  "&amp;PM_3[[#This Row],[ENCUENTRO]]&amp;" "&amp;PM_3[[#This Row],[AÑO]]&amp;" : "&amp;PM_3[[#This Row],[PROGRAMA]]&amp;" "&amp;PM_3[[#This Row],[UNIDAD REGIONAL]]&amp;" "&amp;PM_3[[#This Row],[FACULTAD]])</f>
        <v xml:space="preserve">PLAN DE MEJORAMIENTO  CUARTO ENCUENTRO  2025 : ADMINISTRACIÓN DE EMPRESAS SOACHA  CIENCIAS ADMINISTRATIVAS, ECONÓMICAS Y CONTABLES </v>
      </c>
      <c r="D42" s="63" t="s">
        <v>170</v>
      </c>
      <c r="E42" s="64" t="s">
        <v>172</v>
      </c>
      <c r="F42" s="65" t="s">
        <v>171</v>
      </c>
      <c r="G42" s="49">
        <v>0.5</v>
      </c>
      <c r="H42" s="43"/>
      <c r="I42" s="44" t="s">
        <v>3</v>
      </c>
      <c r="J42" s="44" t="s">
        <v>169</v>
      </c>
      <c r="K42" s="44" t="s">
        <v>129</v>
      </c>
      <c r="L42" s="55">
        <v>2025</v>
      </c>
      <c r="M42" s="44" t="s">
        <v>173</v>
      </c>
      <c r="N42" s="8" t="s">
        <v>147</v>
      </c>
    </row>
    <row r="43" spans="1:14" ht="330" x14ac:dyDescent="0.25">
      <c r="A43" s="72" t="s">
        <v>33</v>
      </c>
      <c r="B43" s="70" t="s">
        <v>34</v>
      </c>
      <c r="C43" s="71" t="str">
        <f>+UPPER("plan de mejoramiento  "&amp;PM_3[[#This Row],[ENCUENTRO]]&amp;" "&amp;PM_3[[#This Row],[AÑO]]&amp;" : "&amp;PM_3[[#This Row],[PROGRAMA]]&amp;" "&amp;PM_3[[#This Row],[UNIDAD REGIONAL]]&amp;" "&amp;PM_3[[#This Row],[FACULTAD]])</f>
        <v xml:space="preserve">PLAN DE MEJORAMIENTO  CUARTO ENCUENTRO  2025 : ADMINISTRACIÓN DE EMPRESAS GIRARDOT CIENCIAS ADMINISTRATIVAS, ECONÓMICAS Y CONTABLES </v>
      </c>
      <c r="D43" s="73" t="s">
        <v>174</v>
      </c>
      <c r="E43" s="64" t="s">
        <v>175</v>
      </c>
      <c r="F43" s="65" t="s">
        <v>176</v>
      </c>
      <c r="G43" s="49">
        <v>0.5</v>
      </c>
      <c r="H43" s="43"/>
      <c r="I43" s="44" t="s">
        <v>3</v>
      </c>
      <c r="J43" s="44" t="s">
        <v>4</v>
      </c>
      <c r="K43" s="44" t="s">
        <v>129</v>
      </c>
      <c r="L43" s="55">
        <v>2025</v>
      </c>
      <c r="M43" s="44" t="s">
        <v>173</v>
      </c>
      <c r="N43" s="8" t="s">
        <v>147</v>
      </c>
    </row>
    <row r="44" spans="1:14" ht="363" x14ac:dyDescent="0.25">
      <c r="A44" s="72" t="s">
        <v>33</v>
      </c>
      <c r="B44" s="70" t="s">
        <v>34</v>
      </c>
      <c r="C44" s="71" t="str">
        <f>+UPPER("plan de mejoramiento  "&amp;PM_3[[#This Row],[ENCUENTRO]]&amp;" "&amp;PM_3[[#This Row],[AÑO]]&amp;" : "&amp;PM_3[[#This Row],[PROGRAMA]]&amp;" "&amp;PM_3[[#This Row],[UNIDAD REGIONAL]]&amp;" "&amp;PM_3[[#This Row],[FACULTAD]])</f>
        <v xml:space="preserve">PLAN DE MEJORAMIENTO  CUARTO ENCUENTRO  2025 : INGENIERIA DE SISTEMAS Y COMPUTACIÓN UBATÉ INGENIERIA </v>
      </c>
      <c r="D44" s="71" t="s">
        <v>177</v>
      </c>
      <c r="E44" s="64" t="s">
        <v>178</v>
      </c>
      <c r="F44" s="65" t="s">
        <v>179</v>
      </c>
      <c r="G44" s="49">
        <v>0.5</v>
      </c>
      <c r="H44" s="43"/>
      <c r="I44" s="44" t="s">
        <v>149</v>
      </c>
      <c r="J44" s="44" t="s">
        <v>0</v>
      </c>
      <c r="K44" s="44" t="s">
        <v>180</v>
      </c>
      <c r="L44" s="55">
        <v>2025</v>
      </c>
      <c r="M44" s="44" t="s">
        <v>173</v>
      </c>
      <c r="N44" s="8" t="s">
        <v>147</v>
      </c>
    </row>
    <row r="45" spans="1:14" ht="346.5" x14ac:dyDescent="0.25">
      <c r="A45" s="72" t="s">
        <v>33</v>
      </c>
      <c r="B45" s="70" t="s">
        <v>34</v>
      </c>
      <c r="C45" s="71" t="str">
        <f>+UPPER("plan de mejoramiento  "&amp;PM_3[[#This Row],[ENCUENTRO]]&amp;" "&amp;PM_3[[#This Row],[AÑO]]&amp;" : "&amp;PM_3[[#This Row],[PROGRAMA]]&amp;" "&amp;PM_3[[#This Row],[UNIDAD REGIONAL]]&amp;" "&amp;PM_3[[#This Row],[FACULTAD]])</f>
        <v>PLAN DE MEJORAMIENTO  CUARTO ENCUENTRO  2025 : ESPECIALIZACIÓN EN METODOLOGÍAS DE CALIDAD DEL DESARROLLO DE SOFTWARE VIRTUAL INSTITUTO DE POSGRADOS</v>
      </c>
      <c r="D45" s="71" t="s">
        <v>181</v>
      </c>
      <c r="E45" s="64" t="s">
        <v>182</v>
      </c>
      <c r="F45" s="65" t="s">
        <v>183</v>
      </c>
      <c r="G45" s="49">
        <v>0.5</v>
      </c>
      <c r="H45" s="43"/>
      <c r="I45" s="44" t="s">
        <v>184</v>
      </c>
      <c r="J45" s="44" t="s">
        <v>2</v>
      </c>
      <c r="K45" s="44" t="s">
        <v>10</v>
      </c>
      <c r="L45" s="55">
        <v>2025</v>
      </c>
      <c r="M45" s="44" t="s">
        <v>173</v>
      </c>
      <c r="N45" s="8" t="s">
        <v>147</v>
      </c>
    </row>
    <row r="46" spans="1:14" ht="346.5" x14ac:dyDescent="0.25">
      <c r="A46" s="72" t="s">
        <v>33</v>
      </c>
      <c r="B46" s="70" t="s">
        <v>34</v>
      </c>
      <c r="C46" s="71" t="str">
        <f>+UPPER("plan de mejoramiento  "&amp;PM_3[[#This Row],[ENCUENTRO]]&amp;" "&amp;PM_3[[#This Row],[AÑO]]&amp;" : "&amp;PM_3[[#This Row],[PROGRAMA]]&amp;" "&amp;PM_3[[#This Row],[UNIDAD REGIONAL]]&amp;" "&amp;PM_3[[#This Row],[FACULTAD]])</f>
        <v>PLAN DE MEJORAMIENTO  CUARTO ENCUENTRO  2025 : ESPECIALIZACIÓN EN METODOLOGÍAS DE CALIDAD DEL DESARROLLO DE SOFTWARE VIRTUAL INSTITUTO DE POSGRADOS</v>
      </c>
      <c r="D46" s="71" t="s">
        <v>185</v>
      </c>
      <c r="E46" s="64" t="s">
        <v>197</v>
      </c>
      <c r="F46" s="65" t="s">
        <v>186</v>
      </c>
      <c r="G46" s="49">
        <v>0.5</v>
      </c>
      <c r="H46" s="43"/>
      <c r="I46" s="44" t="s">
        <v>184</v>
      </c>
      <c r="J46" s="44" t="s">
        <v>2</v>
      </c>
      <c r="K46" s="44" t="s">
        <v>10</v>
      </c>
      <c r="L46" s="55">
        <v>2025</v>
      </c>
      <c r="M46" s="44" t="s">
        <v>173</v>
      </c>
      <c r="N46" s="8" t="s">
        <v>147</v>
      </c>
    </row>
    <row r="47" spans="1:14" ht="346.5" x14ac:dyDescent="0.25">
      <c r="A47" s="72" t="s">
        <v>33</v>
      </c>
      <c r="B47" s="70" t="s">
        <v>34</v>
      </c>
      <c r="C47" s="71" t="str">
        <f>+UPPER("plan de mejoramiento  "&amp;PM_3[[#This Row],[ENCUENTRO]]&amp;" "&amp;PM_3[[#This Row],[AÑO]]&amp;" : "&amp;PM_3[[#This Row],[PROGRAMA]]&amp;" "&amp;PM_3[[#This Row],[UNIDAD REGIONAL]]&amp;" "&amp;PM_3[[#This Row],[FACULTAD]])</f>
        <v>PLAN DE MEJORAMIENTO  CUARTO ENCUENTRO  2025 : ESPECIALIZACIÓN EN METODOLOGÍAS DE CALIDAD DEL DESARROLLO DE SOFTWARE VIRTUAL INSTITUTO DE POSGRADOS</v>
      </c>
      <c r="D47" s="71" t="s">
        <v>187</v>
      </c>
      <c r="E47" s="64" t="s">
        <v>188</v>
      </c>
      <c r="F47" s="65" t="s">
        <v>189</v>
      </c>
      <c r="G47" s="49">
        <v>0.5</v>
      </c>
      <c r="H47" s="43"/>
      <c r="I47" s="44" t="s">
        <v>184</v>
      </c>
      <c r="J47" s="44" t="s">
        <v>2</v>
      </c>
      <c r="K47" s="44" t="s">
        <v>10</v>
      </c>
      <c r="L47" s="55">
        <v>2025</v>
      </c>
      <c r="M47" s="44" t="s">
        <v>173</v>
      </c>
      <c r="N47" s="8" t="s">
        <v>147</v>
      </c>
    </row>
    <row r="48" spans="1:14" ht="346.5" x14ac:dyDescent="0.25">
      <c r="A48" s="72" t="s">
        <v>33</v>
      </c>
      <c r="B48" s="70" t="s">
        <v>34</v>
      </c>
      <c r="C48" s="71" t="str">
        <f>+UPPER("plan de mejoramiento  "&amp;PM_3[[#This Row],[ENCUENTRO]]&amp;" "&amp;PM_3[[#This Row],[AÑO]]&amp;" : "&amp;PM_3[[#This Row],[PROGRAMA]]&amp;" "&amp;PM_3[[#This Row],[UNIDAD REGIONAL]]&amp;" "&amp;PM_3[[#This Row],[FACULTAD]])</f>
        <v>PLAN DE MEJORAMIENTO  CUARTO ENCUENTRO  2025 : ESPECIALIZACIÓN EN METODOLOGÍAS DE CALIDAD DEL DESARROLLO DE SOFTWARE VIRTUAL INSTITUTO DE POSGRADOS</v>
      </c>
      <c r="D48" s="71" t="s">
        <v>190</v>
      </c>
      <c r="E48" s="64" t="s">
        <v>191</v>
      </c>
      <c r="F48" s="65" t="s">
        <v>192</v>
      </c>
      <c r="G48" s="49">
        <v>0.5</v>
      </c>
      <c r="H48" s="43"/>
      <c r="I48" s="44" t="s">
        <v>184</v>
      </c>
      <c r="J48" s="44" t="s">
        <v>2</v>
      </c>
      <c r="K48" s="44" t="s">
        <v>10</v>
      </c>
      <c r="L48" s="55">
        <v>2025</v>
      </c>
      <c r="M48" s="44" t="s">
        <v>173</v>
      </c>
      <c r="N48" s="8" t="s">
        <v>147</v>
      </c>
    </row>
    <row r="49" spans="1:14" ht="280.5" x14ac:dyDescent="0.25">
      <c r="A49" s="72" t="s">
        <v>33</v>
      </c>
      <c r="B49" s="70" t="s">
        <v>34</v>
      </c>
      <c r="C49" s="10" t="str">
        <f>+UPPER("plan de mejoramiento  "&amp;PM_3[[#This Row],[ENCUENTRO]]&amp;" "&amp;PM_3[[#This Row],[AÑO]]&amp;" : "&amp;PM_3[[#This Row],[PROGRAMA]]&amp;" "&amp;PM_3[[#This Row],[UNIDAD REGIONAL]]&amp;" "&amp;PM_3[[#This Row],[FACULTAD]])</f>
        <v>PLAN DE MEJORAMIENTO  PRIMER ENCUENTRO 2026 : DOCTORADO EN CIENCIAS DE LA EDUCACIÓN  VIRTUAL INSTITUTO DE POSGRADOS</v>
      </c>
      <c r="D49" s="9" t="s">
        <v>198</v>
      </c>
      <c r="E49" s="60" t="s">
        <v>199</v>
      </c>
      <c r="F49" s="4" t="s">
        <v>200</v>
      </c>
      <c r="G49" s="49">
        <v>0.5</v>
      </c>
      <c r="H49" s="43"/>
      <c r="I49" s="44" t="s">
        <v>201</v>
      </c>
      <c r="J49" s="44" t="s">
        <v>2</v>
      </c>
      <c r="K49" s="44" t="s">
        <v>10</v>
      </c>
      <c r="L49" s="55">
        <v>2026</v>
      </c>
      <c r="M49" s="44" t="s">
        <v>11</v>
      </c>
      <c r="N49" s="8" t="s">
        <v>146</v>
      </c>
    </row>
    <row r="50" spans="1:14" ht="231" x14ac:dyDescent="0.25">
      <c r="A50" s="72" t="s">
        <v>33</v>
      </c>
      <c r="B50" s="70" t="s">
        <v>34</v>
      </c>
      <c r="C50" s="10" t="str">
        <f>+UPPER("plan de mejoramiento  "&amp;PM_3[[#This Row],[ENCUENTRO]]&amp;" "&amp;PM_3[[#This Row],[AÑO]]&amp;" : "&amp;PM_3[[#This Row],[PROGRAMA]]&amp;" "&amp;PM_3[[#This Row],[UNIDAD REGIONAL]]&amp;" "&amp;PM_3[[#This Row],[FACULTAD]])</f>
        <v>PLAN DE MEJORAMIENTO  PRIMER ENCUENTRO 2026 : INGENIERIA DE SOFTWARE GIRARDOT INGENIERIA</v>
      </c>
      <c r="D50" s="9" t="s">
        <v>202</v>
      </c>
      <c r="E50" s="74" t="s">
        <v>203</v>
      </c>
      <c r="F50" s="75" t="s">
        <v>204</v>
      </c>
      <c r="G50" s="76">
        <v>0.5</v>
      </c>
      <c r="H50" s="77"/>
      <c r="I50" s="78" t="s">
        <v>205</v>
      </c>
      <c r="J50" s="78" t="s">
        <v>4</v>
      </c>
      <c r="K50" s="78" t="s">
        <v>150</v>
      </c>
      <c r="L50" s="79">
        <v>2026</v>
      </c>
      <c r="M50" s="78" t="s">
        <v>11</v>
      </c>
      <c r="N50" s="80" t="s">
        <v>146</v>
      </c>
    </row>
    <row r="51" spans="1:14" ht="247.5" x14ac:dyDescent="0.25">
      <c r="A51" s="72" t="s">
        <v>33</v>
      </c>
      <c r="B51" s="70" t="s">
        <v>34</v>
      </c>
      <c r="C51" s="10" t="str">
        <f>+UPPER("plan de mejoramiento  "&amp;PM_3[[#This Row],[ENCUENTRO]]&amp;" "&amp;PM_3[[#This Row],[AÑO]]&amp;" : "&amp;PM_3[[#This Row],[PROGRAMA]]&amp;" "&amp;PM_3[[#This Row],[UNIDAD REGIONAL]]&amp;" "&amp;PM_3[[#This Row],[FACULTAD]])</f>
        <v>PLAN DE MEJORAMIENTO  PRIMER ENCUENTRO 2026 : INGENIERIA DE SISTEMAS Y COMPUTACIÓN UBATÉ INGENIERIA</v>
      </c>
      <c r="D51" s="9" t="s">
        <v>206</v>
      </c>
      <c r="E51" s="74" t="s">
        <v>207</v>
      </c>
      <c r="F51" s="75" t="s">
        <v>208</v>
      </c>
      <c r="G51" s="76">
        <v>0.5</v>
      </c>
      <c r="H51" s="77"/>
      <c r="I51" s="78" t="s">
        <v>149</v>
      </c>
      <c r="J51" s="78" t="s">
        <v>0</v>
      </c>
      <c r="K51" s="78" t="s">
        <v>150</v>
      </c>
      <c r="L51" s="79">
        <v>2026</v>
      </c>
      <c r="M51" s="78" t="s">
        <v>11</v>
      </c>
      <c r="N51" s="80" t="s">
        <v>146</v>
      </c>
    </row>
    <row r="52" spans="1:14" ht="330" x14ac:dyDescent="0.25">
      <c r="A52" s="72" t="s">
        <v>33</v>
      </c>
      <c r="B52" s="70" t="s">
        <v>34</v>
      </c>
      <c r="C52" s="10" t="str">
        <f>+UPPER("plan de mejoramiento  "&amp;PM_3[[#This Row],[ENCUENTRO]]&amp;" "&amp;PM_3[[#This Row],[AÑO]]&amp;" : "&amp;PM_3[[#This Row],[PROGRAMA]]&amp;" "&amp;PM_3[[#This Row],[UNIDAD REGIONAL]]&amp;" "&amp;PM_3[[#This Row],[FACULTAD]])</f>
        <v xml:space="preserve">PLAN DE MEJORAMIENTO  PRIMER ENCUENTRO 2026 : ADMINISTRACIÓN DE EMPRESAS GIRARDOT CIENCIAS ADMINISTRATIVAS, ECONÓMICAS Y CONTABLES </v>
      </c>
      <c r="D52" s="9" t="s">
        <v>209</v>
      </c>
      <c r="E52" s="74" t="s">
        <v>211</v>
      </c>
      <c r="F52" s="75" t="s">
        <v>210</v>
      </c>
      <c r="G52" s="76">
        <v>0.5</v>
      </c>
      <c r="H52" s="77"/>
      <c r="I52" s="78" t="s">
        <v>58</v>
      </c>
      <c r="J52" s="78" t="s">
        <v>4</v>
      </c>
      <c r="K52" s="78" t="s">
        <v>129</v>
      </c>
      <c r="L52" s="79">
        <v>2026</v>
      </c>
      <c r="M52" s="78" t="s">
        <v>11</v>
      </c>
      <c r="N52" s="80" t="s">
        <v>146</v>
      </c>
    </row>
    <row r="53" spans="1:14" ht="231" x14ac:dyDescent="0.25">
      <c r="A53" s="72" t="s">
        <v>33</v>
      </c>
      <c r="B53" s="70" t="s">
        <v>34</v>
      </c>
      <c r="C53" s="10" t="str">
        <f>+UPPER("plan de mejoramiento  "&amp;PM_3[[#This Row],[ENCUENTRO]]&amp;" "&amp;PM_3[[#This Row],[AÑO]]&amp;" : "&amp;PM_3[[#This Row],[PROGRAMA]]&amp;" "&amp;PM_3[[#This Row],[UNIDAD REGIONAL]]&amp;" "&amp;PM_3[[#This Row],[FACULTAD]])</f>
        <v xml:space="preserve">PLAN DE MEJORAMIENTO  PRIMER ENCUENTRO 2026 : LICENCIATURA EN CIENCIAS SOCIALES  FUSAGASUGÁ EDUCACIÓN </v>
      </c>
      <c r="D53" s="9" t="s">
        <v>212</v>
      </c>
      <c r="E53" s="74" t="s">
        <v>213</v>
      </c>
      <c r="F53" s="75" t="s">
        <v>214</v>
      </c>
      <c r="G53" s="76">
        <v>0.5</v>
      </c>
      <c r="H53" s="77"/>
      <c r="I53" s="78" t="s">
        <v>215</v>
      </c>
      <c r="J53" s="78" t="s">
        <v>1</v>
      </c>
      <c r="K53" s="78" t="s">
        <v>216</v>
      </c>
      <c r="L53" s="79">
        <v>2026</v>
      </c>
      <c r="M53" s="78" t="s">
        <v>11</v>
      </c>
      <c r="N53" s="80" t="s">
        <v>146</v>
      </c>
    </row>
    <row r="54" spans="1:14" ht="264" x14ac:dyDescent="0.25">
      <c r="A54" s="72" t="s">
        <v>33</v>
      </c>
      <c r="B54" s="70" t="s">
        <v>34</v>
      </c>
      <c r="C54" s="10" t="str">
        <f>+UPPER("plan de mejoramiento  "&amp;PM_3[[#This Row],[ENCUENTRO]]&amp;" "&amp;PM_3[[#This Row],[AÑO]]&amp;" : "&amp;PM_3[[#This Row],[PROGRAMA]]&amp;" "&amp;PM_3[[#This Row],[UNIDAD REGIONAL]]&amp;" "&amp;PM_3[[#This Row],[FACULTAD]])</f>
        <v>PLAN DE MEJORAMIENTO  PRIMER ENCUENTRO 2026 : MEDICINA VETERINARIA Y ZOOTECNIA  UBATÉ CIENCIAS AGROPECUARIAS</v>
      </c>
      <c r="D54" s="9" t="s">
        <v>218</v>
      </c>
      <c r="E54" s="74" t="s">
        <v>217</v>
      </c>
      <c r="F54" s="75" t="s">
        <v>219</v>
      </c>
      <c r="G54" s="76">
        <v>0.5</v>
      </c>
      <c r="H54" s="77"/>
      <c r="I54" s="78" t="s">
        <v>164</v>
      </c>
      <c r="J54" s="78" t="s">
        <v>0</v>
      </c>
      <c r="K54" s="78" t="s">
        <v>8</v>
      </c>
      <c r="L54" s="79">
        <v>2026</v>
      </c>
      <c r="M54" s="78" t="s">
        <v>11</v>
      </c>
      <c r="N54" s="80" t="s">
        <v>147</v>
      </c>
    </row>
    <row r="55" spans="1:14" ht="313.5" x14ac:dyDescent="0.25">
      <c r="A55" s="72" t="s">
        <v>33</v>
      </c>
      <c r="B55" s="70" t="s">
        <v>34</v>
      </c>
      <c r="C55" s="10" t="str">
        <f>+UPPER("plan de mejoramiento  "&amp;PM_3[[#This Row],[ENCUENTRO]]&amp;" "&amp;PM_3[[#This Row],[AÑO]]&amp;" : "&amp;PM_3[[#This Row],[PROGRAMA]]&amp;" "&amp;PM_3[[#This Row],[UNIDAD REGIONAL]]&amp;" "&amp;PM_3[[#This Row],[FACULTAD]])</f>
        <v>PLAN DE MEJORAMIENTO  PRIMER ENCUENTRO 2026 : ZOOTECNIA  UBATÉ CIENCIAS AGROPECUARIAS</v>
      </c>
      <c r="D55" s="9" t="s">
        <v>220</v>
      </c>
      <c r="E55" s="74" t="s">
        <v>217</v>
      </c>
      <c r="F55" s="75" t="s">
        <v>221</v>
      </c>
      <c r="G55" s="76">
        <v>0.5</v>
      </c>
      <c r="H55" s="77"/>
      <c r="I55" s="78" t="s">
        <v>30</v>
      </c>
      <c r="J55" s="78" t="s">
        <v>0</v>
      </c>
      <c r="K55" s="78" t="s">
        <v>8</v>
      </c>
      <c r="L55" s="79">
        <v>2026</v>
      </c>
      <c r="M55" s="78" t="s">
        <v>11</v>
      </c>
      <c r="N55" s="80" t="s">
        <v>147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F3277AC-24F7-49B9-89C7-18A367349BB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DAHYANA HERNANDEZ CARDENAS</dc:creator>
  <cp:keywords/>
  <dc:description/>
  <cp:lastModifiedBy>ESTADÍSTICA PLANEACIÓN INSTITUCIONAL UCUNDINAMARCA</cp:lastModifiedBy>
  <cp:revision/>
  <dcterms:created xsi:type="dcterms:W3CDTF">2025-05-23T16:42:38Z</dcterms:created>
  <dcterms:modified xsi:type="dcterms:W3CDTF">2026-04-17T00:32:34Z</dcterms:modified>
  <cp:category/>
  <cp:contentStatus/>
</cp:coreProperties>
</file>